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teop\Desktop\"/>
    </mc:Choice>
  </mc:AlternateContent>
  <xr:revisionPtr revIDLastSave="0" documentId="13_ncr:1_{E1FAD347-979C-465B-BFDF-1C56F9ECC21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i" sheetId="1" r:id="rId1"/>
    <sheet name="Statistiche" sheetId="2" r:id="rId2"/>
  </sheets>
  <definedNames>
    <definedName name="_xlnm._FilterDatabase" localSheetId="0" hidden="1">Dati!$A$1:$U$2001</definedName>
    <definedName name="FiltroDati_Coppia___Cross">#N/A</definedName>
  </definedNames>
  <calcPr calcId="18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H11" i="2" l="1"/>
  <c r="H3" i="2"/>
  <c r="H4" i="2"/>
  <c r="H5" i="2"/>
  <c r="H6" i="2"/>
  <c r="H7" i="2"/>
  <c r="H8" i="2"/>
  <c r="H9" i="2"/>
  <c r="H10" i="2"/>
  <c r="H2" i="2"/>
  <c r="B36" i="2"/>
  <c r="B35" i="2"/>
  <c r="C34" i="2"/>
  <c r="B34" i="2"/>
  <c r="B33" i="2"/>
  <c r="B32" i="2"/>
  <c r="B31" i="2"/>
  <c r="B30" i="2"/>
  <c r="B12" i="2"/>
  <c r="B8" i="2"/>
  <c r="B7" i="2"/>
  <c r="B3" i="2"/>
  <c r="B2" i="2"/>
  <c r="B1" i="2"/>
  <c r="L2001" i="1"/>
  <c r="T2001" i="1" s="1"/>
  <c r="E2001" i="1"/>
  <c r="D2001" i="1"/>
  <c r="L2000" i="1"/>
  <c r="T2000" i="1" s="1"/>
  <c r="E2000" i="1"/>
  <c r="D2000" i="1"/>
  <c r="L1999" i="1"/>
  <c r="T1999" i="1" s="1"/>
  <c r="E1999" i="1"/>
  <c r="D1999" i="1"/>
  <c r="L1998" i="1"/>
  <c r="T1998" i="1" s="1"/>
  <c r="E1998" i="1"/>
  <c r="D1998" i="1"/>
  <c r="L1997" i="1"/>
  <c r="T1997" i="1" s="1"/>
  <c r="E1997" i="1"/>
  <c r="D1997" i="1"/>
  <c r="L1996" i="1"/>
  <c r="T1996" i="1" s="1"/>
  <c r="E1996" i="1"/>
  <c r="D1996" i="1"/>
  <c r="L1995" i="1"/>
  <c r="T1995" i="1" s="1"/>
  <c r="E1995" i="1"/>
  <c r="D1995" i="1"/>
  <c r="L1994" i="1"/>
  <c r="T1994" i="1" s="1"/>
  <c r="E1994" i="1"/>
  <c r="D1994" i="1"/>
  <c r="L1993" i="1"/>
  <c r="T1993" i="1" s="1"/>
  <c r="E1993" i="1"/>
  <c r="D1993" i="1"/>
  <c r="L1992" i="1"/>
  <c r="T1992" i="1" s="1"/>
  <c r="E1992" i="1"/>
  <c r="D1992" i="1"/>
  <c r="L1991" i="1"/>
  <c r="T1991" i="1" s="1"/>
  <c r="E1991" i="1"/>
  <c r="D1991" i="1"/>
  <c r="L1990" i="1"/>
  <c r="T1990" i="1" s="1"/>
  <c r="E1990" i="1"/>
  <c r="D1990" i="1"/>
  <c r="L1989" i="1"/>
  <c r="T1989" i="1" s="1"/>
  <c r="E1989" i="1"/>
  <c r="D1989" i="1"/>
  <c r="L1988" i="1"/>
  <c r="T1988" i="1" s="1"/>
  <c r="E1988" i="1"/>
  <c r="D1988" i="1"/>
  <c r="L1987" i="1"/>
  <c r="T1987" i="1" s="1"/>
  <c r="E1987" i="1"/>
  <c r="D1987" i="1"/>
  <c r="L1986" i="1"/>
  <c r="T1986" i="1" s="1"/>
  <c r="E1986" i="1"/>
  <c r="D1986" i="1"/>
  <c r="L1985" i="1"/>
  <c r="T1985" i="1" s="1"/>
  <c r="E1985" i="1"/>
  <c r="D1985" i="1"/>
  <c r="L1984" i="1"/>
  <c r="T1984" i="1" s="1"/>
  <c r="E1984" i="1"/>
  <c r="D1984" i="1"/>
  <c r="L1983" i="1"/>
  <c r="T1983" i="1" s="1"/>
  <c r="E1983" i="1"/>
  <c r="D1983" i="1"/>
  <c r="L1982" i="1"/>
  <c r="T1982" i="1" s="1"/>
  <c r="E1982" i="1"/>
  <c r="D1982" i="1"/>
  <c r="L1981" i="1"/>
  <c r="T1981" i="1" s="1"/>
  <c r="E1981" i="1"/>
  <c r="D1981" i="1"/>
  <c r="L1980" i="1"/>
  <c r="T1980" i="1" s="1"/>
  <c r="E1980" i="1"/>
  <c r="D1980" i="1"/>
  <c r="L1979" i="1"/>
  <c r="T1979" i="1" s="1"/>
  <c r="E1979" i="1"/>
  <c r="D1979" i="1"/>
  <c r="L1978" i="1"/>
  <c r="T1978" i="1" s="1"/>
  <c r="E1978" i="1"/>
  <c r="D1978" i="1"/>
  <c r="L1977" i="1"/>
  <c r="T1977" i="1" s="1"/>
  <c r="E1977" i="1"/>
  <c r="D1977" i="1"/>
  <c r="L1976" i="1"/>
  <c r="T1976" i="1" s="1"/>
  <c r="E1976" i="1"/>
  <c r="D1976" i="1"/>
  <c r="L1975" i="1"/>
  <c r="T1975" i="1" s="1"/>
  <c r="E1975" i="1"/>
  <c r="D1975" i="1"/>
  <c r="L1974" i="1"/>
  <c r="T1974" i="1" s="1"/>
  <c r="E1974" i="1"/>
  <c r="D1974" i="1"/>
  <c r="L1973" i="1"/>
  <c r="T1973" i="1" s="1"/>
  <c r="E1973" i="1"/>
  <c r="D1973" i="1"/>
  <c r="L1972" i="1"/>
  <c r="T1972" i="1" s="1"/>
  <c r="E1972" i="1"/>
  <c r="D1972" i="1"/>
  <c r="L1971" i="1"/>
  <c r="T1971" i="1" s="1"/>
  <c r="E1971" i="1"/>
  <c r="D1971" i="1"/>
  <c r="L1970" i="1"/>
  <c r="T1970" i="1" s="1"/>
  <c r="E1970" i="1"/>
  <c r="D1970" i="1"/>
  <c r="L1969" i="1"/>
  <c r="T1969" i="1" s="1"/>
  <c r="E1969" i="1"/>
  <c r="D1969" i="1"/>
  <c r="L1968" i="1"/>
  <c r="T1968" i="1" s="1"/>
  <c r="E1968" i="1"/>
  <c r="D1968" i="1"/>
  <c r="L1967" i="1"/>
  <c r="T1967" i="1" s="1"/>
  <c r="E1967" i="1"/>
  <c r="D1967" i="1"/>
  <c r="L1966" i="1"/>
  <c r="T1966" i="1" s="1"/>
  <c r="E1966" i="1"/>
  <c r="D1966" i="1"/>
  <c r="L1965" i="1"/>
  <c r="T1965" i="1" s="1"/>
  <c r="E1965" i="1"/>
  <c r="D1965" i="1"/>
  <c r="L1964" i="1"/>
  <c r="T1964" i="1" s="1"/>
  <c r="E1964" i="1"/>
  <c r="D1964" i="1"/>
  <c r="L1963" i="1"/>
  <c r="T1963" i="1" s="1"/>
  <c r="E1963" i="1"/>
  <c r="D1963" i="1"/>
  <c r="L1962" i="1"/>
  <c r="T1962" i="1" s="1"/>
  <c r="E1962" i="1"/>
  <c r="D1962" i="1"/>
  <c r="L1961" i="1"/>
  <c r="T1961" i="1" s="1"/>
  <c r="E1961" i="1"/>
  <c r="D1961" i="1"/>
  <c r="L1960" i="1"/>
  <c r="T1960" i="1" s="1"/>
  <c r="E1960" i="1"/>
  <c r="D1960" i="1"/>
  <c r="L1959" i="1"/>
  <c r="T1959" i="1" s="1"/>
  <c r="E1959" i="1"/>
  <c r="D1959" i="1"/>
  <c r="L1958" i="1"/>
  <c r="T1958" i="1" s="1"/>
  <c r="E1958" i="1"/>
  <c r="D1958" i="1"/>
  <c r="L1957" i="1"/>
  <c r="T1957" i="1" s="1"/>
  <c r="E1957" i="1"/>
  <c r="D1957" i="1"/>
  <c r="L1956" i="1"/>
  <c r="T1956" i="1" s="1"/>
  <c r="E1956" i="1"/>
  <c r="D1956" i="1"/>
  <c r="L1955" i="1"/>
  <c r="T1955" i="1" s="1"/>
  <c r="E1955" i="1"/>
  <c r="D1955" i="1"/>
  <c r="L1954" i="1"/>
  <c r="T1954" i="1" s="1"/>
  <c r="E1954" i="1"/>
  <c r="D1954" i="1"/>
  <c r="L1953" i="1"/>
  <c r="T1953" i="1" s="1"/>
  <c r="E1953" i="1"/>
  <c r="D1953" i="1"/>
  <c r="L1952" i="1"/>
  <c r="T1952" i="1" s="1"/>
  <c r="E1952" i="1"/>
  <c r="D1952" i="1"/>
  <c r="L1951" i="1"/>
  <c r="T1951" i="1" s="1"/>
  <c r="E1951" i="1"/>
  <c r="D1951" i="1"/>
  <c r="L1950" i="1"/>
  <c r="T1950" i="1" s="1"/>
  <c r="E1950" i="1"/>
  <c r="D1950" i="1"/>
  <c r="L1949" i="1"/>
  <c r="T1949" i="1" s="1"/>
  <c r="E1949" i="1"/>
  <c r="D1949" i="1"/>
  <c r="L1948" i="1"/>
  <c r="T1948" i="1" s="1"/>
  <c r="E1948" i="1"/>
  <c r="D1948" i="1"/>
  <c r="L1947" i="1"/>
  <c r="T1947" i="1" s="1"/>
  <c r="E1947" i="1"/>
  <c r="D1947" i="1"/>
  <c r="L1946" i="1"/>
  <c r="T1946" i="1" s="1"/>
  <c r="E1946" i="1"/>
  <c r="D1946" i="1"/>
  <c r="L1945" i="1"/>
  <c r="T1945" i="1" s="1"/>
  <c r="E1945" i="1"/>
  <c r="D1945" i="1"/>
  <c r="L1944" i="1"/>
  <c r="T1944" i="1" s="1"/>
  <c r="E1944" i="1"/>
  <c r="D1944" i="1"/>
  <c r="L1943" i="1"/>
  <c r="T1943" i="1" s="1"/>
  <c r="E1943" i="1"/>
  <c r="D1943" i="1"/>
  <c r="L1942" i="1"/>
  <c r="T1942" i="1" s="1"/>
  <c r="E1942" i="1"/>
  <c r="D1942" i="1"/>
  <c r="L1941" i="1"/>
  <c r="T1941" i="1" s="1"/>
  <c r="E1941" i="1"/>
  <c r="D1941" i="1"/>
  <c r="L1940" i="1"/>
  <c r="T1940" i="1" s="1"/>
  <c r="E1940" i="1"/>
  <c r="D1940" i="1"/>
  <c r="L1939" i="1"/>
  <c r="T1939" i="1" s="1"/>
  <c r="E1939" i="1"/>
  <c r="D1939" i="1"/>
  <c r="L1938" i="1"/>
  <c r="T1938" i="1" s="1"/>
  <c r="E1938" i="1"/>
  <c r="D1938" i="1"/>
  <c r="L1937" i="1"/>
  <c r="T1937" i="1" s="1"/>
  <c r="E1937" i="1"/>
  <c r="D1937" i="1"/>
  <c r="L1936" i="1"/>
  <c r="T1936" i="1" s="1"/>
  <c r="E1936" i="1"/>
  <c r="D1936" i="1"/>
  <c r="L1935" i="1"/>
  <c r="T1935" i="1" s="1"/>
  <c r="E1935" i="1"/>
  <c r="D1935" i="1"/>
  <c r="L1934" i="1"/>
  <c r="T1934" i="1" s="1"/>
  <c r="E1934" i="1"/>
  <c r="D1934" i="1"/>
  <c r="L1933" i="1"/>
  <c r="T1933" i="1" s="1"/>
  <c r="E1933" i="1"/>
  <c r="D1933" i="1"/>
  <c r="L1932" i="1"/>
  <c r="T1932" i="1" s="1"/>
  <c r="E1932" i="1"/>
  <c r="D1932" i="1"/>
  <c r="L1931" i="1"/>
  <c r="T1931" i="1" s="1"/>
  <c r="E1931" i="1"/>
  <c r="D1931" i="1"/>
  <c r="L1930" i="1"/>
  <c r="T1930" i="1" s="1"/>
  <c r="E1930" i="1"/>
  <c r="D1930" i="1"/>
  <c r="L1929" i="1"/>
  <c r="T1929" i="1" s="1"/>
  <c r="E1929" i="1"/>
  <c r="D1929" i="1"/>
  <c r="L1928" i="1"/>
  <c r="T1928" i="1" s="1"/>
  <c r="E1928" i="1"/>
  <c r="D1928" i="1"/>
  <c r="L1927" i="1"/>
  <c r="T1927" i="1" s="1"/>
  <c r="E1927" i="1"/>
  <c r="D1927" i="1"/>
  <c r="L1926" i="1"/>
  <c r="T1926" i="1" s="1"/>
  <c r="E1926" i="1"/>
  <c r="D1926" i="1"/>
  <c r="L1925" i="1"/>
  <c r="T1925" i="1" s="1"/>
  <c r="E1925" i="1"/>
  <c r="D1925" i="1"/>
  <c r="L1924" i="1"/>
  <c r="T1924" i="1" s="1"/>
  <c r="E1924" i="1"/>
  <c r="D1924" i="1"/>
  <c r="L1923" i="1"/>
  <c r="T1923" i="1" s="1"/>
  <c r="E1923" i="1"/>
  <c r="D1923" i="1"/>
  <c r="L1922" i="1"/>
  <c r="T1922" i="1" s="1"/>
  <c r="E1922" i="1"/>
  <c r="D1922" i="1"/>
  <c r="L1921" i="1"/>
  <c r="T1921" i="1" s="1"/>
  <c r="E1921" i="1"/>
  <c r="D1921" i="1"/>
  <c r="L1920" i="1"/>
  <c r="T1920" i="1" s="1"/>
  <c r="E1920" i="1"/>
  <c r="D1920" i="1"/>
  <c r="L1919" i="1"/>
  <c r="T1919" i="1" s="1"/>
  <c r="E1919" i="1"/>
  <c r="D1919" i="1"/>
  <c r="L1918" i="1"/>
  <c r="T1918" i="1" s="1"/>
  <c r="E1918" i="1"/>
  <c r="D1918" i="1"/>
  <c r="L1917" i="1"/>
  <c r="T1917" i="1" s="1"/>
  <c r="E1917" i="1"/>
  <c r="D1917" i="1"/>
  <c r="L1916" i="1"/>
  <c r="T1916" i="1" s="1"/>
  <c r="E1916" i="1"/>
  <c r="D1916" i="1"/>
  <c r="L1915" i="1"/>
  <c r="T1915" i="1" s="1"/>
  <c r="E1915" i="1"/>
  <c r="D1915" i="1"/>
  <c r="L1914" i="1"/>
  <c r="T1914" i="1" s="1"/>
  <c r="E1914" i="1"/>
  <c r="D1914" i="1"/>
  <c r="L1913" i="1"/>
  <c r="T1913" i="1" s="1"/>
  <c r="E1913" i="1"/>
  <c r="D1913" i="1"/>
  <c r="L1912" i="1"/>
  <c r="T1912" i="1" s="1"/>
  <c r="E1912" i="1"/>
  <c r="D1912" i="1"/>
  <c r="L1911" i="1"/>
  <c r="T1911" i="1" s="1"/>
  <c r="E1911" i="1"/>
  <c r="D1911" i="1"/>
  <c r="L1910" i="1"/>
  <c r="T1910" i="1" s="1"/>
  <c r="E1910" i="1"/>
  <c r="D1910" i="1"/>
  <c r="L1909" i="1"/>
  <c r="T1909" i="1" s="1"/>
  <c r="E1909" i="1"/>
  <c r="D1909" i="1"/>
  <c r="L1908" i="1"/>
  <c r="T1908" i="1" s="1"/>
  <c r="E1908" i="1"/>
  <c r="D1908" i="1"/>
  <c r="L1907" i="1"/>
  <c r="T1907" i="1" s="1"/>
  <c r="E1907" i="1"/>
  <c r="D1907" i="1"/>
  <c r="L1906" i="1"/>
  <c r="T1906" i="1" s="1"/>
  <c r="E1906" i="1"/>
  <c r="D1906" i="1"/>
  <c r="L1905" i="1"/>
  <c r="T1905" i="1" s="1"/>
  <c r="E1905" i="1"/>
  <c r="D1905" i="1"/>
  <c r="L1904" i="1"/>
  <c r="T1904" i="1" s="1"/>
  <c r="E1904" i="1"/>
  <c r="D1904" i="1"/>
  <c r="L1903" i="1"/>
  <c r="T1903" i="1" s="1"/>
  <c r="E1903" i="1"/>
  <c r="D1903" i="1"/>
  <c r="L1902" i="1"/>
  <c r="T1902" i="1" s="1"/>
  <c r="E1902" i="1"/>
  <c r="D1902" i="1"/>
  <c r="L1901" i="1"/>
  <c r="T1901" i="1" s="1"/>
  <c r="E1901" i="1"/>
  <c r="D1901" i="1"/>
  <c r="L1900" i="1"/>
  <c r="T1900" i="1" s="1"/>
  <c r="E1900" i="1"/>
  <c r="D1900" i="1"/>
  <c r="L1899" i="1"/>
  <c r="T1899" i="1" s="1"/>
  <c r="E1899" i="1"/>
  <c r="D1899" i="1"/>
  <c r="L1898" i="1"/>
  <c r="T1898" i="1" s="1"/>
  <c r="E1898" i="1"/>
  <c r="D1898" i="1"/>
  <c r="L1897" i="1"/>
  <c r="T1897" i="1" s="1"/>
  <c r="E1897" i="1"/>
  <c r="D1897" i="1"/>
  <c r="L1896" i="1"/>
  <c r="T1896" i="1" s="1"/>
  <c r="E1896" i="1"/>
  <c r="D1896" i="1"/>
  <c r="L1895" i="1"/>
  <c r="T1895" i="1" s="1"/>
  <c r="E1895" i="1"/>
  <c r="D1895" i="1"/>
  <c r="L1894" i="1"/>
  <c r="T1894" i="1" s="1"/>
  <c r="E1894" i="1"/>
  <c r="D1894" i="1"/>
  <c r="L1893" i="1"/>
  <c r="T1893" i="1" s="1"/>
  <c r="E1893" i="1"/>
  <c r="D1893" i="1"/>
  <c r="L1892" i="1"/>
  <c r="T1892" i="1" s="1"/>
  <c r="E1892" i="1"/>
  <c r="D1892" i="1"/>
  <c r="L1891" i="1"/>
  <c r="T1891" i="1" s="1"/>
  <c r="E1891" i="1"/>
  <c r="D1891" i="1"/>
  <c r="L1890" i="1"/>
  <c r="T1890" i="1" s="1"/>
  <c r="E1890" i="1"/>
  <c r="D1890" i="1"/>
  <c r="L1889" i="1"/>
  <c r="T1889" i="1" s="1"/>
  <c r="E1889" i="1"/>
  <c r="D1889" i="1"/>
  <c r="L1888" i="1"/>
  <c r="T1888" i="1" s="1"/>
  <c r="E1888" i="1"/>
  <c r="D1888" i="1"/>
  <c r="L1887" i="1"/>
  <c r="T1887" i="1" s="1"/>
  <c r="E1887" i="1"/>
  <c r="D1887" i="1"/>
  <c r="L1886" i="1"/>
  <c r="T1886" i="1" s="1"/>
  <c r="E1886" i="1"/>
  <c r="D1886" i="1"/>
  <c r="L1885" i="1"/>
  <c r="T1885" i="1" s="1"/>
  <c r="E1885" i="1"/>
  <c r="D1885" i="1"/>
  <c r="L1884" i="1"/>
  <c r="T1884" i="1" s="1"/>
  <c r="E1884" i="1"/>
  <c r="D1884" i="1"/>
  <c r="L1883" i="1"/>
  <c r="T1883" i="1" s="1"/>
  <c r="E1883" i="1"/>
  <c r="D1883" i="1"/>
  <c r="L1882" i="1"/>
  <c r="T1882" i="1" s="1"/>
  <c r="E1882" i="1"/>
  <c r="D1882" i="1"/>
  <c r="L1881" i="1"/>
  <c r="T1881" i="1" s="1"/>
  <c r="E1881" i="1"/>
  <c r="D1881" i="1"/>
  <c r="L1880" i="1"/>
  <c r="T1880" i="1" s="1"/>
  <c r="E1880" i="1"/>
  <c r="D1880" i="1"/>
  <c r="L1879" i="1"/>
  <c r="T1879" i="1" s="1"/>
  <c r="E1879" i="1"/>
  <c r="D1879" i="1"/>
  <c r="L1878" i="1"/>
  <c r="T1878" i="1" s="1"/>
  <c r="E1878" i="1"/>
  <c r="D1878" i="1"/>
  <c r="L1877" i="1"/>
  <c r="T1877" i="1" s="1"/>
  <c r="E1877" i="1"/>
  <c r="D1877" i="1"/>
  <c r="L1876" i="1"/>
  <c r="T1876" i="1" s="1"/>
  <c r="E1876" i="1"/>
  <c r="D1876" i="1"/>
  <c r="L1875" i="1"/>
  <c r="T1875" i="1" s="1"/>
  <c r="E1875" i="1"/>
  <c r="D1875" i="1"/>
  <c r="L1874" i="1"/>
  <c r="T1874" i="1" s="1"/>
  <c r="E1874" i="1"/>
  <c r="D1874" i="1"/>
  <c r="L1873" i="1"/>
  <c r="T1873" i="1" s="1"/>
  <c r="E1873" i="1"/>
  <c r="D1873" i="1"/>
  <c r="L1872" i="1"/>
  <c r="T1872" i="1" s="1"/>
  <c r="E1872" i="1"/>
  <c r="D1872" i="1"/>
  <c r="L1871" i="1"/>
  <c r="T1871" i="1" s="1"/>
  <c r="E1871" i="1"/>
  <c r="D1871" i="1"/>
  <c r="L1870" i="1"/>
  <c r="T1870" i="1" s="1"/>
  <c r="E1870" i="1"/>
  <c r="D1870" i="1"/>
  <c r="L1869" i="1"/>
  <c r="T1869" i="1" s="1"/>
  <c r="E1869" i="1"/>
  <c r="D1869" i="1"/>
  <c r="L1868" i="1"/>
  <c r="T1868" i="1" s="1"/>
  <c r="E1868" i="1"/>
  <c r="D1868" i="1"/>
  <c r="L1867" i="1"/>
  <c r="T1867" i="1" s="1"/>
  <c r="E1867" i="1"/>
  <c r="D1867" i="1"/>
  <c r="L1866" i="1"/>
  <c r="T1866" i="1" s="1"/>
  <c r="E1866" i="1"/>
  <c r="D1866" i="1"/>
  <c r="L1865" i="1"/>
  <c r="T1865" i="1" s="1"/>
  <c r="E1865" i="1"/>
  <c r="D1865" i="1"/>
  <c r="L1864" i="1"/>
  <c r="T1864" i="1" s="1"/>
  <c r="E1864" i="1"/>
  <c r="D1864" i="1"/>
  <c r="L1863" i="1"/>
  <c r="T1863" i="1" s="1"/>
  <c r="E1863" i="1"/>
  <c r="D1863" i="1"/>
  <c r="L1862" i="1"/>
  <c r="T1862" i="1" s="1"/>
  <c r="E1862" i="1"/>
  <c r="D1862" i="1"/>
  <c r="L1861" i="1"/>
  <c r="T1861" i="1" s="1"/>
  <c r="E1861" i="1"/>
  <c r="D1861" i="1"/>
  <c r="L1860" i="1"/>
  <c r="T1860" i="1" s="1"/>
  <c r="E1860" i="1"/>
  <c r="D1860" i="1"/>
  <c r="L1859" i="1"/>
  <c r="T1859" i="1" s="1"/>
  <c r="E1859" i="1"/>
  <c r="D1859" i="1"/>
  <c r="L1858" i="1"/>
  <c r="T1858" i="1" s="1"/>
  <c r="E1858" i="1"/>
  <c r="D1858" i="1"/>
  <c r="L1857" i="1"/>
  <c r="T1857" i="1" s="1"/>
  <c r="E1857" i="1"/>
  <c r="D1857" i="1"/>
  <c r="L1856" i="1"/>
  <c r="T1856" i="1" s="1"/>
  <c r="E1856" i="1"/>
  <c r="D1856" i="1"/>
  <c r="L1855" i="1"/>
  <c r="T1855" i="1" s="1"/>
  <c r="E1855" i="1"/>
  <c r="D1855" i="1"/>
  <c r="L1854" i="1"/>
  <c r="T1854" i="1" s="1"/>
  <c r="E1854" i="1"/>
  <c r="D1854" i="1"/>
  <c r="L1853" i="1"/>
  <c r="T1853" i="1" s="1"/>
  <c r="E1853" i="1"/>
  <c r="D1853" i="1"/>
  <c r="L1852" i="1"/>
  <c r="T1852" i="1" s="1"/>
  <c r="E1852" i="1"/>
  <c r="D1852" i="1"/>
  <c r="L1851" i="1"/>
  <c r="T1851" i="1" s="1"/>
  <c r="E1851" i="1"/>
  <c r="D1851" i="1"/>
  <c r="L1850" i="1"/>
  <c r="T1850" i="1" s="1"/>
  <c r="E1850" i="1"/>
  <c r="D1850" i="1"/>
  <c r="L1849" i="1"/>
  <c r="T1849" i="1" s="1"/>
  <c r="E1849" i="1"/>
  <c r="D1849" i="1"/>
  <c r="L1848" i="1"/>
  <c r="T1848" i="1" s="1"/>
  <c r="E1848" i="1"/>
  <c r="D1848" i="1"/>
  <c r="L1847" i="1"/>
  <c r="T1847" i="1" s="1"/>
  <c r="E1847" i="1"/>
  <c r="D1847" i="1"/>
  <c r="L1846" i="1"/>
  <c r="T1846" i="1" s="1"/>
  <c r="E1846" i="1"/>
  <c r="D1846" i="1"/>
  <c r="L1845" i="1"/>
  <c r="T1845" i="1" s="1"/>
  <c r="E1845" i="1"/>
  <c r="D1845" i="1"/>
  <c r="L1844" i="1"/>
  <c r="T1844" i="1" s="1"/>
  <c r="E1844" i="1"/>
  <c r="D1844" i="1"/>
  <c r="L1843" i="1"/>
  <c r="T1843" i="1" s="1"/>
  <c r="E1843" i="1"/>
  <c r="D1843" i="1"/>
  <c r="L1842" i="1"/>
  <c r="T1842" i="1" s="1"/>
  <c r="E1842" i="1"/>
  <c r="D1842" i="1"/>
  <c r="L1841" i="1"/>
  <c r="T1841" i="1" s="1"/>
  <c r="E1841" i="1"/>
  <c r="D1841" i="1"/>
  <c r="L1840" i="1"/>
  <c r="T1840" i="1" s="1"/>
  <c r="E1840" i="1"/>
  <c r="D1840" i="1"/>
  <c r="L1839" i="1"/>
  <c r="T1839" i="1" s="1"/>
  <c r="E1839" i="1"/>
  <c r="D1839" i="1"/>
  <c r="L1838" i="1"/>
  <c r="T1838" i="1" s="1"/>
  <c r="E1838" i="1"/>
  <c r="D1838" i="1"/>
  <c r="L1837" i="1"/>
  <c r="T1837" i="1" s="1"/>
  <c r="E1837" i="1"/>
  <c r="D1837" i="1"/>
  <c r="L1836" i="1"/>
  <c r="T1836" i="1" s="1"/>
  <c r="E1836" i="1"/>
  <c r="D1836" i="1"/>
  <c r="L1835" i="1"/>
  <c r="T1835" i="1" s="1"/>
  <c r="E1835" i="1"/>
  <c r="D1835" i="1"/>
  <c r="L1834" i="1"/>
  <c r="T1834" i="1" s="1"/>
  <c r="E1834" i="1"/>
  <c r="D1834" i="1"/>
  <c r="L1833" i="1"/>
  <c r="T1833" i="1" s="1"/>
  <c r="E1833" i="1"/>
  <c r="D1833" i="1"/>
  <c r="L1832" i="1"/>
  <c r="T1832" i="1" s="1"/>
  <c r="E1832" i="1"/>
  <c r="D1832" i="1"/>
  <c r="L1831" i="1"/>
  <c r="T1831" i="1" s="1"/>
  <c r="E1831" i="1"/>
  <c r="D1831" i="1"/>
  <c r="L1830" i="1"/>
  <c r="T1830" i="1" s="1"/>
  <c r="E1830" i="1"/>
  <c r="D1830" i="1"/>
  <c r="L1829" i="1"/>
  <c r="T1829" i="1" s="1"/>
  <c r="E1829" i="1"/>
  <c r="D1829" i="1"/>
  <c r="L1828" i="1"/>
  <c r="T1828" i="1" s="1"/>
  <c r="E1828" i="1"/>
  <c r="D1828" i="1"/>
  <c r="L1827" i="1"/>
  <c r="T1827" i="1" s="1"/>
  <c r="E1827" i="1"/>
  <c r="D1827" i="1"/>
  <c r="L1826" i="1"/>
  <c r="T1826" i="1" s="1"/>
  <c r="E1826" i="1"/>
  <c r="D1826" i="1"/>
  <c r="L1825" i="1"/>
  <c r="T1825" i="1" s="1"/>
  <c r="E1825" i="1"/>
  <c r="D1825" i="1"/>
  <c r="L1824" i="1"/>
  <c r="T1824" i="1" s="1"/>
  <c r="E1824" i="1"/>
  <c r="D1824" i="1"/>
  <c r="L1823" i="1"/>
  <c r="T1823" i="1" s="1"/>
  <c r="E1823" i="1"/>
  <c r="D1823" i="1"/>
  <c r="L1822" i="1"/>
  <c r="T1822" i="1" s="1"/>
  <c r="E1822" i="1"/>
  <c r="D1822" i="1"/>
  <c r="L1821" i="1"/>
  <c r="T1821" i="1" s="1"/>
  <c r="E1821" i="1"/>
  <c r="D1821" i="1"/>
  <c r="L1820" i="1"/>
  <c r="T1820" i="1" s="1"/>
  <c r="E1820" i="1"/>
  <c r="D1820" i="1"/>
  <c r="L1819" i="1"/>
  <c r="T1819" i="1" s="1"/>
  <c r="E1819" i="1"/>
  <c r="D1819" i="1"/>
  <c r="L1818" i="1"/>
  <c r="T1818" i="1" s="1"/>
  <c r="E1818" i="1"/>
  <c r="D1818" i="1"/>
  <c r="L1817" i="1"/>
  <c r="T1817" i="1" s="1"/>
  <c r="E1817" i="1"/>
  <c r="D1817" i="1"/>
  <c r="L1816" i="1"/>
  <c r="T1816" i="1" s="1"/>
  <c r="E1816" i="1"/>
  <c r="D1816" i="1"/>
  <c r="L1815" i="1"/>
  <c r="T1815" i="1" s="1"/>
  <c r="E1815" i="1"/>
  <c r="D1815" i="1"/>
  <c r="L1814" i="1"/>
  <c r="T1814" i="1" s="1"/>
  <c r="E1814" i="1"/>
  <c r="D1814" i="1"/>
  <c r="L1813" i="1"/>
  <c r="T1813" i="1" s="1"/>
  <c r="E1813" i="1"/>
  <c r="D1813" i="1"/>
  <c r="L1812" i="1"/>
  <c r="T1812" i="1" s="1"/>
  <c r="E1812" i="1"/>
  <c r="D1812" i="1"/>
  <c r="L1811" i="1"/>
  <c r="T1811" i="1" s="1"/>
  <c r="E1811" i="1"/>
  <c r="D1811" i="1"/>
  <c r="L1810" i="1"/>
  <c r="T1810" i="1" s="1"/>
  <c r="E1810" i="1"/>
  <c r="D1810" i="1"/>
  <c r="L1809" i="1"/>
  <c r="T1809" i="1" s="1"/>
  <c r="E1809" i="1"/>
  <c r="D1809" i="1"/>
  <c r="L1808" i="1"/>
  <c r="T1808" i="1" s="1"/>
  <c r="E1808" i="1"/>
  <c r="D1808" i="1"/>
  <c r="L1807" i="1"/>
  <c r="T1807" i="1" s="1"/>
  <c r="E1807" i="1"/>
  <c r="D1807" i="1"/>
  <c r="L1806" i="1"/>
  <c r="T1806" i="1" s="1"/>
  <c r="E1806" i="1"/>
  <c r="D1806" i="1"/>
  <c r="L1805" i="1"/>
  <c r="T1805" i="1" s="1"/>
  <c r="E1805" i="1"/>
  <c r="D1805" i="1"/>
  <c r="L1804" i="1"/>
  <c r="T1804" i="1" s="1"/>
  <c r="E1804" i="1"/>
  <c r="D1804" i="1"/>
  <c r="L1803" i="1"/>
  <c r="T1803" i="1" s="1"/>
  <c r="E1803" i="1"/>
  <c r="D1803" i="1"/>
  <c r="L1802" i="1"/>
  <c r="T1802" i="1" s="1"/>
  <c r="E1802" i="1"/>
  <c r="D1802" i="1"/>
  <c r="L1801" i="1"/>
  <c r="T1801" i="1" s="1"/>
  <c r="E1801" i="1"/>
  <c r="D1801" i="1"/>
  <c r="L1800" i="1"/>
  <c r="T1800" i="1" s="1"/>
  <c r="E1800" i="1"/>
  <c r="D1800" i="1"/>
  <c r="L1799" i="1"/>
  <c r="T1799" i="1" s="1"/>
  <c r="E1799" i="1"/>
  <c r="D1799" i="1"/>
  <c r="L1798" i="1"/>
  <c r="T1798" i="1" s="1"/>
  <c r="E1798" i="1"/>
  <c r="D1798" i="1"/>
  <c r="L1797" i="1"/>
  <c r="T1797" i="1" s="1"/>
  <c r="E1797" i="1"/>
  <c r="D1797" i="1"/>
  <c r="L1796" i="1"/>
  <c r="T1796" i="1" s="1"/>
  <c r="E1796" i="1"/>
  <c r="D1796" i="1"/>
  <c r="L1795" i="1"/>
  <c r="T1795" i="1" s="1"/>
  <c r="E1795" i="1"/>
  <c r="D1795" i="1"/>
  <c r="L1794" i="1"/>
  <c r="T1794" i="1" s="1"/>
  <c r="E1794" i="1"/>
  <c r="D1794" i="1"/>
  <c r="L1793" i="1"/>
  <c r="T1793" i="1" s="1"/>
  <c r="E1793" i="1"/>
  <c r="D1793" i="1"/>
  <c r="L1792" i="1"/>
  <c r="T1792" i="1" s="1"/>
  <c r="E1792" i="1"/>
  <c r="D1792" i="1"/>
  <c r="L1791" i="1"/>
  <c r="T1791" i="1" s="1"/>
  <c r="E1791" i="1"/>
  <c r="D1791" i="1"/>
  <c r="L1790" i="1"/>
  <c r="T1790" i="1" s="1"/>
  <c r="E1790" i="1"/>
  <c r="D1790" i="1"/>
  <c r="L1789" i="1"/>
  <c r="T1789" i="1" s="1"/>
  <c r="E1789" i="1"/>
  <c r="D1789" i="1"/>
  <c r="L1788" i="1"/>
  <c r="T1788" i="1" s="1"/>
  <c r="E1788" i="1"/>
  <c r="D1788" i="1"/>
  <c r="L1787" i="1"/>
  <c r="T1787" i="1" s="1"/>
  <c r="E1787" i="1"/>
  <c r="D1787" i="1"/>
  <c r="L1786" i="1"/>
  <c r="T1786" i="1" s="1"/>
  <c r="E1786" i="1"/>
  <c r="D1786" i="1"/>
  <c r="L1785" i="1"/>
  <c r="T1785" i="1" s="1"/>
  <c r="E1785" i="1"/>
  <c r="D1785" i="1"/>
  <c r="L1784" i="1"/>
  <c r="T1784" i="1" s="1"/>
  <c r="E1784" i="1"/>
  <c r="D1784" i="1"/>
  <c r="L1783" i="1"/>
  <c r="T1783" i="1" s="1"/>
  <c r="E1783" i="1"/>
  <c r="D1783" i="1"/>
  <c r="L1782" i="1"/>
  <c r="T1782" i="1" s="1"/>
  <c r="E1782" i="1"/>
  <c r="D1782" i="1"/>
  <c r="L1781" i="1"/>
  <c r="T1781" i="1" s="1"/>
  <c r="E1781" i="1"/>
  <c r="D1781" i="1"/>
  <c r="L1780" i="1"/>
  <c r="T1780" i="1" s="1"/>
  <c r="E1780" i="1"/>
  <c r="D1780" i="1"/>
  <c r="L1779" i="1"/>
  <c r="T1779" i="1" s="1"/>
  <c r="E1779" i="1"/>
  <c r="D1779" i="1"/>
  <c r="L1778" i="1"/>
  <c r="T1778" i="1" s="1"/>
  <c r="E1778" i="1"/>
  <c r="D1778" i="1"/>
  <c r="L1777" i="1"/>
  <c r="T1777" i="1" s="1"/>
  <c r="E1777" i="1"/>
  <c r="D1777" i="1"/>
  <c r="L1776" i="1"/>
  <c r="T1776" i="1" s="1"/>
  <c r="E1776" i="1"/>
  <c r="D1776" i="1"/>
  <c r="L1775" i="1"/>
  <c r="T1775" i="1" s="1"/>
  <c r="E1775" i="1"/>
  <c r="D1775" i="1"/>
  <c r="L1774" i="1"/>
  <c r="T1774" i="1" s="1"/>
  <c r="E1774" i="1"/>
  <c r="D1774" i="1"/>
  <c r="L1773" i="1"/>
  <c r="T1773" i="1" s="1"/>
  <c r="E1773" i="1"/>
  <c r="D1773" i="1"/>
  <c r="L1772" i="1"/>
  <c r="T1772" i="1" s="1"/>
  <c r="E1772" i="1"/>
  <c r="D1772" i="1"/>
  <c r="L1771" i="1"/>
  <c r="T1771" i="1" s="1"/>
  <c r="E1771" i="1"/>
  <c r="D1771" i="1"/>
  <c r="L1770" i="1"/>
  <c r="T1770" i="1" s="1"/>
  <c r="E1770" i="1"/>
  <c r="D1770" i="1"/>
  <c r="L1769" i="1"/>
  <c r="T1769" i="1" s="1"/>
  <c r="E1769" i="1"/>
  <c r="D1769" i="1"/>
  <c r="L1768" i="1"/>
  <c r="T1768" i="1" s="1"/>
  <c r="E1768" i="1"/>
  <c r="D1768" i="1"/>
  <c r="L1767" i="1"/>
  <c r="T1767" i="1" s="1"/>
  <c r="E1767" i="1"/>
  <c r="D1767" i="1"/>
  <c r="L1766" i="1"/>
  <c r="T1766" i="1" s="1"/>
  <c r="E1766" i="1"/>
  <c r="D1766" i="1"/>
  <c r="L1765" i="1"/>
  <c r="T1765" i="1" s="1"/>
  <c r="E1765" i="1"/>
  <c r="D1765" i="1"/>
  <c r="L1764" i="1"/>
  <c r="T1764" i="1" s="1"/>
  <c r="E1764" i="1"/>
  <c r="D1764" i="1"/>
  <c r="L1763" i="1"/>
  <c r="T1763" i="1" s="1"/>
  <c r="E1763" i="1"/>
  <c r="D1763" i="1"/>
  <c r="L1762" i="1"/>
  <c r="T1762" i="1" s="1"/>
  <c r="E1762" i="1"/>
  <c r="D1762" i="1"/>
  <c r="L1761" i="1"/>
  <c r="T1761" i="1" s="1"/>
  <c r="E1761" i="1"/>
  <c r="D1761" i="1"/>
  <c r="L1760" i="1"/>
  <c r="T1760" i="1" s="1"/>
  <c r="E1760" i="1"/>
  <c r="D1760" i="1"/>
  <c r="L1759" i="1"/>
  <c r="T1759" i="1" s="1"/>
  <c r="E1759" i="1"/>
  <c r="D1759" i="1"/>
  <c r="L1758" i="1"/>
  <c r="T1758" i="1" s="1"/>
  <c r="E1758" i="1"/>
  <c r="D1758" i="1"/>
  <c r="L1757" i="1"/>
  <c r="T1757" i="1" s="1"/>
  <c r="E1757" i="1"/>
  <c r="D1757" i="1"/>
  <c r="L1756" i="1"/>
  <c r="T1756" i="1" s="1"/>
  <c r="E1756" i="1"/>
  <c r="D1756" i="1"/>
  <c r="L1755" i="1"/>
  <c r="T1755" i="1" s="1"/>
  <c r="E1755" i="1"/>
  <c r="D1755" i="1"/>
  <c r="L1754" i="1"/>
  <c r="T1754" i="1" s="1"/>
  <c r="E1754" i="1"/>
  <c r="D1754" i="1"/>
  <c r="L1753" i="1"/>
  <c r="T1753" i="1" s="1"/>
  <c r="E1753" i="1"/>
  <c r="D1753" i="1"/>
  <c r="L1752" i="1"/>
  <c r="T1752" i="1" s="1"/>
  <c r="E1752" i="1"/>
  <c r="D1752" i="1"/>
  <c r="L1751" i="1"/>
  <c r="T1751" i="1" s="1"/>
  <c r="E1751" i="1"/>
  <c r="D1751" i="1"/>
  <c r="L1750" i="1"/>
  <c r="T1750" i="1" s="1"/>
  <c r="E1750" i="1"/>
  <c r="D1750" i="1"/>
  <c r="L1749" i="1"/>
  <c r="T1749" i="1" s="1"/>
  <c r="E1749" i="1"/>
  <c r="D1749" i="1"/>
  <c r="L1748" i="1"/>
  <c r="T1748" i="1" s="1"/>
  <c r="E1748" i="1"/>
  <c r="D1748" i="1"/>
  <c r="L1747" i="1"/>
  <c r="T1747" i="1" s="1"/>
  <c r="E1747" i="1"/>
  <c r="D1747" i="1"/>
  <c r="L1746" i="1"/>
  <c r="T1746" i="1" s="1"/>
  <c r="E1746" i="1"/>
  <c r="D1746" i="1"/>
  <c r="L1745" i="1"/>
  <c r="T1745" i="1" s="1"/>
  <c r="E1745" i="1"/>
  <c r="D1745" i="1"/>
  <c r="L1744" i="1"/>
  <c r="T1744" i="1" s="1"/>
  <c r="E1744" i="1"/>
  <c r="D1744" i="1"/>
  <c r="L1743" i="1"/>
  <c r="T1743" i="1" s="1"/>
  <c r="E1743" i="1"/>
  <c r="D1743" i="1"/>
  <c r="L1742" i="1"/>
  <c r="T1742" i="1" s="1"/>
  <c r="E1742" i="1"/>
  <c r="D1742" i="1"/>
  <c r="L1741" i="1"/>
  <c r="T1741" i="1" s="1"/>
  <c r="E1741" i="1"/>
  <c r="D1741" i="1"/>
  <c r="L1740" i="1"/>
  <c r="T1740" i="1" s="1"/>
  <c r="E1740" i="1"/>
  <c r="D1740" i="1"/>
  <c r="L1739" i="1"/>
  <c r="T1739" i="1" s="1"/>
  <c r="E1739" i="1"/>
  <c r="D1739" i="1"/>
  <c r="L1738" i="1"/>
  <c r="T1738" i="1" s="1"/>
  <c r="E1738" i="1"/>
  <c r="D1738" i="1"/>
  <c r="L1737" i="1"/>
  <c r="T1737" i="1" s="1"/>
  <c r="E1737" i="1"/>
  <c r="D1737" i="1"/>
  <c r="L1736" i="1"/>
  <c r="T1736" i="1" s="1"/>
  <c r="E1736" i="1"/>
  <c r="D1736" i="1"/>
  <c r="L1735" i="1"/>
  <c r="T1735" i="1" s="1"/>
  <c r="E1735" i="1"/>
  <c r="D1735" i="1"/>
  <c r="L1734" i="1"/>
  <c r="T1734" i="1" s="1"/>
  <c r="E1734" i="1"/>
  <c r="D1734" i="1"/>
  <c r="L1733" i="1"/>
  <c r="T1733" i="1" s="1"/>
  <c r="E1733" i="1"/>
  <c r="D1733" i="1"/>
  <c r="L1732" i="1"/>
  <c r="T1732" i="1" s="1"/>
  <c r="E1732" i="1"/>
  <c r="D1732" i="1"/>
  <c r="L1731" i="1"/>
  <c r="T1731" i="1" s="1"/>
  <c r="E1731" i="1"/>
  <c r="D1731" i="1"/>
  <c r="L1730" i="1"/>
  <c r="T1730" i="1" s="1"/>
  <c r="E1730" i="1"/>
  <c r="D1730" i="1"/>
  <c r="L1729" i="1"/>
  <c r="T1729" i="1" s="1"/>
  <c r="E1729" i="1"/>
  <c r="D1729" i="1"/>
  <c r="L1728" i="1"/>
  <c r="T1728" i="1" s="1"/>
  <c r="E1728" i="1"/>
  <c r="D1728" i="1"/>
  <c r="L1727" i="1"/>
  <c r="T1727" i="1" s="1"/>
  <c r="E1727" i="1"/>
  <c r="D1727" i="1"/>
  <c r="L1726" i="1"/>
  <c r="T1726" i="1" s="1"/>
  <c r="E1726" i="1"/>
  <c r="D1726" i="1"/>
  <c r="L1725" i="1"/>
  <c r="T1725" i="1" s="1"/>
  <c r="E1725" i="1"/>
  <c r="D1725" i="1"/>
  <c r="L1724" i="1"/>
  <c r="T1724" i="1" s="1"/>
  <c r="E1724" i="1"/>
  <c r="D1724" i="1"/>
  <c r="L1723" i="1"/>
  <c r="T1723" i="1" s="1"/>
  <c r="E1723" i="1"/>
  <c r="D1723" i="1"/>
  <c r="L1722" i="1"/>
  <c r="T1722" i="1" s="1"/>
  <c r="E1722" i="1"/>
  <c r="D1722" i="1"/>
  <c r="L1721" i="1"/>
  <c r="T1721" i="1" s="1"/>
  <c r="E1721" i="1"/>
  <c r="D1721" i="1"/>
  <c r="L1720" i="1"/>
  <c r="T1720" i="1" s="1"/>
  <c r="E1720" i="1"/>
  <c r="D1720" i="1"/>
  <c r="L1719" i="1"/>
  <c r="T1719" i="1" s="1"/>
  <c r="E1719" i="1"/>
  <c r="D1719" i="1"/>
  <c r="L1718" i="1"/>
  <c r="T1718" i="1" s="1"/>
  <c r="E1718" i="1"/>
  <c r="D1718" i="1"/>
  <c r="L1717" i="1"/>
  <c r="T1717" i="1" s="1"/>
  <c r="E1717" i="1"/>
  <c r="D1717" i="1"/>
  <c r="L1716" i="1"/>
  <c r="T1716" i="1" s="1"/>
  <c r="E1716" i="1"/>
  <c r="D1716" i="1"/>
  <c r="L1715" i="1"/>
  <c r="T1715" i="1" s="1"/>
  <c r="E1715" i="1"/>
  <c r="D1715" i="1"/>
  <c r="L1714" i="1"/>
  <c r="T1714" i="1" s="1"/>
  <c r="E1714" i="1"/>
  <c r="D1714" i="1"/>
  <c r="L1713" i="1"/>
  <c r="T1713" i="1" s="1"/>
  <c r="E1713" i="1"/>
  <c r="D1713" i="1"/>
  <c r="L1712" i="1"/>
  <c r="T1712" i="1" s="1"/>
  <c r="E1712" i="1"/>
  <c r="D1712" i="1"/>
  <c r="L1711" i="1"/>
  <c r="T1711" i="1" s="1"/>
  <c r="E1711" i="1"/>
  <c r="D1711" i="1"/>
  <c r="L1710" i="1"/>
  <c r="T1710" i="1" s="1"/>
  <c r="E1710" i="1"/>
  <c r="D1710" i="1"/>
  <c r="L1709" i="1"/>
  <c r="T1709" i="1" s="1"/>
  <c r="E1709" i="1"/>
  <c r="D1709" i="1"/>
  <c r="L1708" i="1"/>
  <c r="T1708" i="1" s="1"/>
  <c r="E1708" i="1"/>
  <c r="D1708" i="1"/>
  <c r="L1707" i="1"/>
  <c r="T1707" i="1" s="1"/>
  <c r="E1707" i="1"/>
  <c r="D1707" i="1"/>
  <c r="L1706" i="1"/>
  <c r="T1706" i="1" s="1"/>
  <c r="E1706" i="1"/>
  <c r="D1706" i="1"/>
  <c r="L1705" i="1"/>
  <c r="T1705" i="1" s="1"/>
  <c r="E1705" i="1"/>
  <c r="D1705" i="1"/>
  <c r="L1704" i="1"/>
  <c r="T1704" i="1" s="1"/>
  <c r="E1704" i="1"/>
  <c r="D1704" i="1"/>
  <c r="L1703" i="1"/>
  <c r="T1703" i="1" s="1"/>
  <c r="E1703" i="1"/>
  <c r="D1703" i="1"/>
  <c r="L1702" i="1"/>
  <c r="T1702" i="1" s="1"/>
  <c r="E1702" i="1"/>
  <c r="D1702" i="1"/>
  <c r="L1701" i="1"/>
  <c r="T1701" i="1" s="1"/>
  <c r="E1701" i="1"/>
  <c r="D1701" i="1"/>
  <c r="L1700" i="1"/>
  <c r="T1700" i="1" s="1"/>
  <c r="E1700" i="1"/>
  <c r="D1700" i="1"/>
  <c r="L1699" i="1"/>
  <c r="T1699" i="1" s="1"/>
  <c r="E1699" i="1"/>
  <c r="D1699" i="1"/>
  <c r="L1698" i="1"/>
  <c r="T1698" i="1" s="1"/>
  <c r="E1698" i="1"/>
  <c r="D1698" i="1"/>
  <c r="L1697" i="1"/>
  <c r="T1697" i="1" s="1"/>
  <c r="E1697" i="1"/>
  <c r="D1697" i="1"/>
  <c r="L1696" i="1"/>
  <c r="T1696" i="1" s="1"/>
  <c r="E1696" i="1"/>
  <c r="D1696" i="1"/>
  <c r="L1695" i="1"/>
  <c r="T1695" i="1" s="1"/>
  <c r="E1695" i="1"/>
  <c r="D1695" i="1"/>
  <c r="L1694" i="1"/>
  <c r="T1694" i="1" s="1"/>
  <c r="E1694" i="1"/>
  <c r="D1694" i="1"/>
  <c r="L1693" i="1"/>
  <c r="T1693" i="1" s="1"/>
  <c r="E1693" i="1"/>
  <c r="D1693" i="1"/>
  <c r="L1692" i="1"/>
  <c r="T1692" i="1" s="1"/>
  <c r="E1692" i="1"/>
  <c r="D1692" i="1"/>
  <c r="L1691" i="1"/>
  <c r="T1691" i="1" s="1"/>
  <c r="E1691" i="1"/>
  <c r="D1691" i="1"/>
  <c r="L1690" i="1"/>
  <c r="T1690" i="1" s="1"/>
  <c r="E1690" i="1"/>
  <c r="D1690" i="1"/>
  <c r="L1689" i="1"/>
  <c r="T1689" i="1" s="1"/>
  <c r="E1689" i="1"/>
  <c r="D1689" i="1"/>
  <c r="L1688" i="1"/>
  <c r="T1688" i="1" s="1"/>
  <c r="E1688" i="1"/>
  <c r="D1688" i="1"/>
  <c r="L1687" i="1"/>
  <c r="T1687" i="1" s="1"/>
  <c r="E1687" i="1"/>
  <c r="D1687" i="1"/>
  <c r="L1686" i="1"/>
  <c r="T1686" i="1" s="1"/>
  <c r="E1686" i="1"/>
  <c r="D1686" i="1"/>
  <c r="L1685" i="1"/>
  <c r="T1685" i="1" s="1"/>
  <c r="E1685" i="1"/>
  <c r="D1685" i="1"/>
  <c r="L1684" i="1"/>
  <c r="T1684" i="1" s="1"/>
  <c r="E1684" i="1"/>
  <c r="D1684" i="1"/>
  <c r="L1683" i="1"/>
  <c r="T1683" i="1" s="1"/>
  <c r="E1683" i="1"/>
  <c r="D1683" i="1"/>
  <c r="L1682" i="1"/>
  <c r="T1682" i="1" s="1"/>
  <c r="E1682" i="1"/>
  <c r="D1682" i="1"/>
  <c r="L1681" i="1"/>
  <c r="T1681" i="1" s="1"/>
  <c r="E1681" i="1"/>
  <c r="D1681" i="1"/>
  <c r="L1680" i="1"/>
  <c r="T1680" i="1" s="1"/>
  <c r="E1680" i="1"/>
  <c r="D1680" i="1"/>
  <c r="L1679" i="1"/>
  <c r="T1679" i="1" s="1"/>
  <c r="E1679" i="1"/>
  <c r="D1679" i="1"/>
  <c r="L1678" i="1"/>
  <c r="T1678" i="1" s="1"/>
  <c r="E1678" i="1"/>
  <c r="D1678" i="1"/>
  <c r="L1677" i="1"/>
  <c r="T1677" i="1" s="1"/>
  <c r="E1677" i="1"/>
  <c r="D1677" i="1"/>
  <c r="L1676" i="1"/>
  <c r="T1676" i="1" s="1"/>
  <c r="E1676" i="1"/>
  <c r="D1676" i="1"/>
  <c r="L1675" i="1"/>
  <c r="T1675" i="1" s="1"/>
  <c r="E1675" i="1"/>
  <c r="D1675" i="1"/>
  <c r="L1674" i="1"/>
  <c r="T1674" i="1" s="1"/>
  <c r="E1674" i="1"/>
  <c r="D1674" i="1"/>
  <c r="L1673" i="1"/>
  <c r="T1673" i="1" s="1"/>
  <c r="E1673" i="1"/>
  <c r="D1673" i="1"/>
  <c r="L1672" i="1"/>
  <c r="T1672" i="1" s="1"/>
  <c r="E1672" i="1"/>
  <c r="D1672" i="1"/>
  <c r="L1671" i="1"/>
  <c r="T1671" i="1" s="1"/>
  <c r="E1671" i="1"/>
  <c r="D1671" i="1"/>
  <c r="L1670" i="1"/>
  <c r="T1670" i="1" s="1"/>
  <c r="E1670" i="1"/>
  <c r="D1670" i="1"/>
  <c r="L1669" i="1"/>
  <c r="T1669" i="1" s="1"/>
  <c r="E1669" i="1"/>
  <c r="D1669" i="1"/>
  <c r="L1668" i="1"/>
  <c r="T1668" i="1" s="1"/>
  <c r="E1668" i="1"/>
  <c r="D1668" i="1"/>
  <c r="L1667" i="1"/>
  <c r="T1667" i="1" s="1"/>
  <c r="E1667" i="1"/>
  <c r="D1667" i="1"/>
  <c r="L1666" i="1"/>
  <c r="T1666" i="1" s="1"/>
  <c r="E1666" i="1"/>
  <c r="D1666" i="1"/>
  <c r="L1665" i="1"/>
  <c r="T1665" i="1" s="1"/>
  <c r="E1665" i="1"/>
  <c r="D1665" i="1"/>
  <c r="L1664" i="1"/>
  <c r="T1664" i="1" s="1"/>
  <c r="E1664" i="1"/>
  <c r="D1664" i="1"/>
  <c r="L1663" i="1"/>
  <c r="T1663" i="1" s="1"/>
  <c r="E1663" i="1"/>
  <c r="D1663" i="1"/>
  <c r="L1662" i="1"/>
  <c r="T1662" i="1" s="1"/>
  <c r="E1662" i="1"/>
  <c r="D1662" i="1"/>
  <c r="L1661" i="1"/>
  <c r="T1661" i="1" s="1"/>
  <c r="E1661" i="1"/>
  <c r="D1661" i="1"/>
  <c r="L1660" i="1"/>
  <c r="T1660" i="1" s="1"/>
  <c r="E1660" i="1"/>
  <c r="D1660" i="1"/>
  <c r="L1659" i="1"/>
  <c r="T1659" i="1" s="1"/>
  <c r="E1659" i="1"/>
  <c r="D1659" i="1"/>
  <c r="L1658" i="1"/>
  <c r="T1658" i="1" s="1"/>
  <c r="E1658" i="1"/>
  <c r="D1658" i="1"/>
  <c r="L1657" i="1"/>
  <c r="T1657" i="1" s="1"/>
  <c r="E1657" i="1"/>
  <c r="D1657" i="1"/>
  <c r="L1656" i="1"/>
  <c r="T1656" i="1" s="1"/>
  <c r="E1656" i="1"/>
  <c r="D1656" i="1"/>
  <c r="L1655" i="1"/>
  <c r="T1655" i="1" s="1"/>
  <c r="E1655" i="1"/>
  <c r="D1655" i="1"/>
  <c r="L1654" i="1"/>
  <c r="T1654" i="1" s="1"/>
  <c r="E1654" i="1"/>
  <c r="D1654" i="1"/>
  <c r="L1653" i="1"/>
  <c r="T1653" i="1" s="1"/>
  <c r="E1653" i="1"/>
  <c r="D1653" i="1"/>
  <c r="L1652" i="1"/>
  <c r="T1652" i="1" s="1"/>
  <c r="E1652" i="1"/>
  <c r="D1652" i="1"/>
  <c r="L1651" i="1"/>
  <c r="T1651" i="1" s="1"/>
  <c r="E1651" i="1"/>
  <c r="D1651" i="1"/>
  <c r="L1650" i="1"/>
  <c r="T1650" i="1" s="1"/>
  <c r="E1650" i="1"/>
  <c r="D1650" i="1"/>
  <c r="L1649" i="1"/>
  <c r="T1649" i="1" s="1"/>
  <c r="E1649" i="1"/>
  <c r="D1649" i="1"/>
  <c r="L1648" i="1"/>
  <c r="T1648" i="1" s="1"/>
  <c r="E1648" i="1"/>
  <c r="D1648" i="1"/>
  <c r="L1647" i="1"/>
  <c r="T1647" i="1" s="1"/>
  <c r="E1647" i="1"/>
  <c r="D1647" i="1"/>
  <c r="L1646" i="1"/>
  <c r="T1646" i="1" s="1"/>
  <c r="E1646" i="1"/>
  <c r="D1646" i="1"/>
  <c r="L1645" i="1"/>
  <c r="T1645" i="1" s="1"/>
  <c r="E1645" i="1"/>
  <c r="D1645" i="1"/>
  <c r="L1644" i="1"/>
  <c r="T1644" i="1" s="1"/>
  <c r="E1644" i="1"/>
  <c r="D1644" i="1"/>
  <c r="L1643" i="1"/>
  <c r="T1643" i="1" s="1"/>
  <c r="E1643" i="1"/>
  <c r="D1643" i="1"/>
  <c r="L1642" i="1"/>
  <c r="T1642" i="1" s="1"/>
  <c r="E1642" i="1"/>
  <c r="D1642" i="1"/>
  <c r="L1641" i="1"/>
  <c r="T1641" i="1" s="1"/>
  <c r="E1641" i="1"/>
  <c r="D1641" i="1"/>
  <c r="L1640" i="1"/>
  <c r="T1640" i="1" s="1"/>
  <c r="E1640" i="1"/>
  <c r="D1640" i="1"/>
  <c r="L1639" i="1"/>
  <c r="T1639" i="1" s="1"/>
  <c r="E1639" i="1"/>
  <c r="D1639" i="1"/>
  <c r="L1638" i="1"/>
  <c r="T1638" i="1" s="1"/>
  <c r="E1638" i="1"/>
  <c r="D1638" i="1"/>
  <c r="L1637" i="1"/>
  <c r="T1637" i="1" s="1"/>
  <c r="E1637" i="1"/>
  <c r="D1637" i="1"/>
  <c r="L1636" i="1"/>
  <c r="T1636" i="1" s="1"/>
  <c r="E1636" i="1"/>
  <c r="D1636" i="1"/>
  <c r="L1635" i="1"/>
  <c r="T1635" i="1" s="1"/>
  <c r="E1635" i="1"/>
  <c r="D1635" i="1"/>
  <c r="L1634" i="1"/>
  <c r="T1634" i="1" s="1"/>
  <c r="E1634" i="1"/>
  <c r="D1634" i="1"/>
  <c r="L1633" i="1"/>
  <c r="T1633" i="1" s="1"/>
  <c r="E1633" i="1"/>
  <c r="D1633" i="1"/>
  <c r="L1632" i="1"/>
  <c r="T1632" i="1" s="1"/>
  <c r="E1632" i="1"/>
  <c r="D1632" i="1"/>
  <c r="L1631" i="1"/>
  <c r="T1631" i="1" s="1"/>
  <c r="E1631" i="1"/>
  <c r="D1631" i="1"/>
  <c r="L1630" i="1"/>
  <c r="T1630" i="1" s="1"/>
  <c r="E1630" i="1"/>
  <c r="D1630" i="1"/>
  <c r="L1629" i="1"/>
  <c r="T1629" i="1" s="1"/>
  <c r="E1629" i="1"/>
  <c r="D1629" i="1"/>
  <c r="L1628" i="1"/>
  <c r="T1628" i="1" s="1"/>
  <c r="E1628" i="1"/>
  <c r="D1628" i="1"/>
  <c r="L1627" i="1"/>
  <c r="T1627" i="1" s="1"/>
  <c r="E1627" i="1"/>
  <c r="D1627" i="1"/>
  <c r="L1626" i="1"/>
  <c r="T1626" i="1" s="1"/>
  <c r="E1626" i="1"/>
  <c r="D1626" i="1"/>
  <c r="L1625" i="1"/>
  <c r="T1625" i="1" s="1"/>
  <c r="E1625" i="1"/>
  <c r="D1625" i="1"/>
  <c r="L1624" i="1"/>
  <c r="T1624" i="1" s="1"/>
  <c r="E1624" i="1"/>
  <c r="D1624" i="1"/>
  <c r="L1623" i="1"/>
  <c r="T1623" i="1" s="1"/>
  <c r="E1623" i="1"/>
  <c r="D1623" i="1"/>
  <c r="L1622" i="1"/>
  <c r="T1622" i="1" s="1"/>
  <c r="E1622" i="1"/>
  <c r="D1622" i="1"/>
  <c r="L1621" i="1"/>
  <c r="T1621" i="1" s="1"/>
  <c r="E1621" i="1"/>
  <c r="D1621" i="1"/>
  <c r="L1620" i="1"/>
  <c r="T1620" i="1" s="1"/>
  <c r="E1620" i="1"/>
  <c r="D1620" i="1"/>
  <c r="L1619" i="1"/>
  <c r="T1619" i="1" s="1"/>
  <c r="E1619" i="1"/>
  <c r="D1619" i="1"/>
  <c r="L1618" i="1"/>
  <c r="T1618" i="1" s="1"/>
  <c r="E1618" i="1"/>
  <c r="D1618" i="1"/>
  <c r="L1617" i="1"/>
  <c r="T1617" i="1" s="1"/>
  <c r="E1617" i="1"/>
  <c r="D1617" i="1"/>
  <c r="L1616" i="1"/>
  <c r="T1616" i="1" s="1"/>
  <c r="E1616" i="1"/>
  <c r="D1616" i="1"/>
  <c r="L1615" i="1"/>
  <c r="T1615" i="1" s="1"/>
  <c r="E1615" i="1"/>
  <c r="D1615" i="1"/>
  <c r="L1614" i="1"/>
  <c r="T1614" i="1" s="1"/>
  <c r="E1614" i="1"/>
  <c r="D1614" i="1"/>
  <c r="L1613" i="1"/>
  <c r="T1613" i="1" s="1"/>
  <c r="E1613" i="1"/>
  <c r="D1613" i="1"/>
  <c r="L1612" i="1"/>
  <c r="T1612" i="1" s="1"/>
  <c r="E1612" i="1"/>
  <c r="D1612" i="1"/>
  <c r="L1611" i="1"/>
  <c r="T1611" i="1" s="1"/>
  <c r="E1611" i="1"/>
  <c r="D1611" i="1"/>
  <c r="L1610" i="1"/>
  <c r="T1610" i="1" s="1"/>
  <c r="E1610" i="1"/>
  <c r="D1610" i="1"/>
  <c r="L1609" i="1"/>
  <c r="T1609" i="1" s="1"/>
  <c r="E1609" i="1"/>
  <c r="D1609" i="1"/>
  <c r="L1608" i="1"/>
  <c r="T1608" i="1" s="1"/>
  <c r="E1608" i="1"/>
  <c r="D1608" i="1"/>
  <c r="L1607" i="1"/>
  <c r="T1607" i="1" s="1"/>
  <c r="E1607" i="1"/>
  <c r="D1607" i="1"/>
  <c r="L1606" i="1"/>
  <c r="T1606" i="1" s="1"/>
  <c r="E1606" i="1"/>
  <c r="D1606" i="1"/>
  <c r="L1605" i="1"/>
  <c r="T1605" i="1" s="1"/>
  <c r="E1605" i="1"/>
  <c r="D1605" i="1"/>
  <c r="L1604" i="1"/>
  <c r="T1604" i="1" s="1"/>
  <c r="E1604" i="1"/>
  <c r="D1604" i="1"/>
  <c r="L1603" i="1"/>
  <c r="T1603" i="1" s="1"/>
  <c r="E1603" i="1"/>
  <c r="D1603" i="1"/>
  <c r="L1602" i="1"/>
  <c r="T1602" i="1" s="1"/>
  <c r="E1602" i="1"/>
  <c r="D1602" i="1"/>
  <c r="L1601" i="1"/>
  <c r="T1601" i="1" s="1"/>
  <c r="E1601" i="1"/>
  <c r="D1601" i="1"/>
  <c r="L1600" i="1"/>
  <c r="T1600" i="1" s="1"/>
  <c r="E1600" i="1"/>
  <c r="D1600" i="1"/>
  <c r="L1599" i="1"/>
  <c r="T1599" i="1" s="1"/>
  <c r="E1599" i="1"/>
  <c r="D1599" i="1"/>
  <c r="L1598" i="1"/>
  <c r="T1598" i="1" s="1"/>
  <c r="E1598" i="1"/>
  <c r="D1598" i="1"/>
  <c r="L1597" i="1"/>
  <c r="T1597" i="1" s="1"/>
  <c r="E1597" i="1"/>
  <c r="D1597" i="1"/>
  <c r="L1596" i="1"/>
  <c r="T1596" i="1" s="1"/>
  <c r="E1596" i="1"/>
  <c r="D1596" i="1"/>
  <c r="L1595" i="1"/>
  <c r="T1595" i="1" s="1"/>
  <c r="E1595" i="1"/>
  <c r="D1595" i="1"/>
  <c r="L1594" i="1"/>
  <c r="T1594" i="1" s="1"/>
  <c r="E1594" i="1"/>
  <c r="D1594" i="1"/>
  <c r="L1593" i="1"/>
  <c r="T1593" i="1" s="1"/>
  <c r="E1593" i="1"/>
  <c r="D1593" i="1"/>
  <c r="L1592" i="1"/>
  <c r="T1592" i="1" s="1"/>
  <c r="E1592" i="1"/>
  <c r="D1592" i="1"/>
  <c r="L1591" i="1"/>
  <c r="T1591" i="1" s="1"/>
  <c r="E1591" i="1"/>
  <c r="D1591" i="1"/>
  <c r="L1590" i="1"/>
  <c r="T1590" i="1" s="1"/>
  <c r="E1590" i="1"/>
  <c r="D1590" i="1"/>
  <c r="L1589" i="1"/>
  <c r="T1589" i="1" s="1"/>
  <c r="E1589" i="1"/>
  <c r="D1589" i="1"/>
  <c r="L1588" i="1"/>
  <c r="T1588" i="1" s="1"/>
  <c r="E1588" i="1"/>
  <c r="D1588" i="1"/>
  <c r="L1587" i="1"/>
  <c r="T1587" i="1" s="1"/>
  <c r="E1587" i="1"/>
  <c r="D1587" i="1"/>
  <c r="L1586" i="1"/>
  <c r="T1586" i="1" s="1"/>
  <c r="E1586" i="1"/>
  <c r="D1586" i="1"/>
  <c r="L1585" i="1"/>
  <c r="T1585" i="1" s="1"/>
  <c r="E1585" i="1"/>
  <c r="D1585" i="1"/>
  <c r="L1584" i="1"/>
  <c r="T1584" i="1" s="1"/>
  <c r="E1584" i="1"/>
  <c r="D1584" i="1"/>
  <c r="L1583" i="1"/>
  <c r="T1583" i="1" s="1"/>
  <c r="E1583" i="1"/>
  <c r="D1583" i="1"/>
  <c r="L1582" i="1"/>
  <c r="T1582" i="1" s="1"/>
  <c r="E1582" i="1"/>
  <c r="D1582" i="1"/>
  <c r="L1581" i="1"/>
  <c r="T1581" i="1" s="1"/>
  <c r="E1581" i="1"/>
  <c r="D1581" i="1"/>
  <c r="L1580" i="1"/>
  <c r="T1580" i="1" s="1"/>
  <c r="E1580" i="1"/>
  <c r="D1580" i="1"/>
  <c r="L1579" i="1"/>
  <c r="T1579" i="1" s="1"/>
  <c r="E1579" i="1"/>
  <c r="D1579" i="1"/>
  <c r="L1578" i="1"/>
  <c r="T1578" i="1" s="1"/>
  <c r="E1578" i="1"/>
  <c r="D1578" i="1"/>
  <c r="L1577" i="1"/>
  <c r="T1577" i="1" s="1"/>
  <c r="E1577" i="1"/>
  <c r="D1577" i="1"/>
  <c r="L1576" i="1"/>
  <c r="T1576" i="1" s="1"/>
  <c r="E1576" i="1"/>
  <c r="D1576" i="1"/>
  <c r="L1575" i="1"/>
  <c r="T1575" i="1" s="1"/>
  <c r="E1575" i="1"/>
  <c r="D1575" i="1"/>
  <c r="L1574" i="1"/>
  <c r="T1574" i="1" s="1"/>
  <c r="E1574" i="1"/>
  <c r="D1574" i="1"/>
  <c r="L1573" i="1"/>
  <c r="T1573" i="1" s="1"/>
  <c r="E1573" i="1"/>
  <c r="D1573" i="1"/>
  <c r="L1572" i="1"/>
  <c r="T1572" i="1" s="1"/>
  <c r="E1572" i="1"/>
  <c r="D1572" i="1"/>
  <c r="L1571" i="1"/>
  <c r="T1571" i="1" s="1"/>
  <c r="E1571" i="1"/>
  <c r="D1571" i="1"/>
  <c r="L1570" i="1"/>
  <c r="T1570" i="1" s="1"/>
  <c r="E1570" i="1"/>
  <c r="D1570" i="1"/>
  <c r="L1569" i="1"/>
  <c r="T1569" i="1" s="1"/>
  <c r="E1569" i="1"/>
  <c r="D1569" i="1"/>
  <c r="L1568" i="1"/>
  <c r="T1568" i="1" s="1"/>
  <c r="E1568" i="1"/>
  <c r="D1568" i="1"/>
  <c r="L1567" i="1"/>
  <c r="T1567" i="1" s="1"/>
  <c r="E1567" i="1"/>
  <c r="D1567" i="1"/>
  <c r="L1566" i="1"/>
  <c r="T1566" i="1" s="1"/>
  <c r="E1566" i="1"/>
  <c r="D1566" i="1"/>
  <c r="L1565" i="1"/>
  <c r="T1565" i="1" s="1"/>
  <c r="E1565" i="1"/>
  <c r="D1565" i="1"/>
  <c r="L1564" i="1"/>
  <c r="T1564" i="1" s="1"/>
  <c r="E1564" i="1"/>
  <c r="D1564" i="1"/>
  <c r="L1563" i="1"/>
  <c r="T1563" i="1" s="1"/>
  <c r="E1563" i="1"/>
  <c r="D1563" i="1"/>
  <c r="L1562" i="1"/>
  <c r="T1562" i="1" s="1"/>
  <c r="E1562" i="1"/>
  <c r="D1562" i="1"/>
  <c r="L1561" i="1"/>
  <c r="T1561" i="1" s="1"/>
  <c r="E1561" i="1"/>
  <c r="D1561" i="1"/>
  <c r="L1560" i="1"/>
  <c r="T1560" i="1" s="1"/>
  <c r="E1560" i="1"/>
  <c r="D1560" i="1"/>
  <c r="L1559" i="1"/>
  <c r="T1559" i="1" s="1"/>
  <c r="E1559" i="1"/>
  <c r="D1559" i="1"/>
  <c r="L1558" i="1"/>
  <c r="T1558" i="1" s="1"/>
  <c r="E1558" i="1"/>
  <c r="D1558" i="1"/>
  <c r="L1557" i="1"/>
  <c r="T1557" i="1" s="1"/>
  <c r="E1557" i="1"/>
  <c r="D1557" i="1"/>
  <c r="L1556" i="1"/>
  <c r="T1556" i="1" s="1"/>
  <c r="E1556" i="1"/>
  <c r="D1556" i="1"/>
  <c r="L1555" i="1"/>
  <c r="T1555" i="1" s="1"/>
  <c r="E1555" i="1"/>
  <c r="D1555" i="1"/>
  <c r="L1554" i="1"/>
  <c r="T1554" i="1" s="1"/>
  <c r="E1554" i="1"/>
  <c r="D1554" i="1"/>
  <c r="L1553" i="1"/>
  <c r="T1553" i="1" s="1"/>
  <c r="E1553" i="1"/>
  <c r="D1553" i="1"/>
  <c r="L1552" i="1"/>
  <c r="T1552" i="1" s="1"/>
  <c r="E1552" i="1"/>
  <c r="D1552" i="1"/>
  <c r="L1551" i="1"/>
  <c r="T1551" i="1" s="1"/>
  <c r="E1551" i="1"/>
  <c r="D1551" i="1"/>
  <c r="L1550" i="1"/>
  <c r="T1550" i="1" s="1"/>
  <c r="E1550" i="1"/>
  <c r="D1550" i="1"/>
  <c r="L1549" i="1"/>
  <c r="T1549" i="1" s="1"/>
  <c r="E1549" i="1"/>
  <c r="D1549" i="1"/>
  <c r="L1548" i="1"/>
  <c r="T1548" i="1" s="1"/>
  <c r="E1548" i="1"/>
  <c r="D1548" i="1"/>
  <c r="L1547" i="1"/>
  <c r="T1547" i="1" s="1"/>
  <c r="E1547" i="1"/>
  <c r="D1547" i="1"/>
  <c r="L1546" i="1"/>
  <c r="T1546" i="1" s="1"/>
  <c r="E1546" i="1"/>
  <c r="D1546" i="1"/>
  <c r="L1545" i="1"/>
  <c r="T1545" i="1" s="1"/>
  <c r="E1545" i="1"/>
  <c r="D1545" i="1"/>
  <c r="L1544" i="1"/>
  <c r="T1544" i="1" s="1"/>
  <c r="E1544" i="1"/>
  <c r="D1544" i="1"/>
  <c r="L1543" i="1"/>
  <c r="T1543" i="1" s="1"/>
  <c r="E1543" i="1"/>
  <c r="D1543" i="1"/>
  <c r="L1542" i="1"/>
  <c r="T1542" i="1" s="1"/>
  <c r="E1542" i="1"/>
  <c r="D1542" i="1"/>
  <c r="L1541" i="1"/>
  <c r="T1541" i="1" s="1"/>
  <c r="E1541" i="1"/>
  <c r="D1541" i="1"/>
  <c r="L1540" i="1"/>
  <c r="T1540" i="1" s="1"/>
  <c r="E1540" i="1"/>
  <c r="D1540" i="1"/>
  <c r="L1539" i="1"/>
  <c r="T1539" i="1" s="1"/>
  <c r="E1539" i="1"/>
  <c r="D1539" i="1"/>
  <c r="L1538" i="1"/>
  <c r="T1538" i="1" s="1"/>
  <c r="E1538" i="1"/>
  <c r="D1538" i="1"/>
  <c r="L1537" i="1"/>
  <c r="T1537" i="1" s="1"/>
  <c r="E1537" i="1"/>
  <c r="D1537" i="1"/>
  <c r="L1536" i="1"/>
  <c r="T1536" i="1" s="1"/>
  <c r="E1536" i="1"/>
  <c r="D1536" i="1"/>
  <c r="L1535" i="1"/>
  <c r="T1535" i="1" s="1"/>
  <c r="E1535" i="1"/>
  <c r="D1535" i="1"/>
  <c r="L1534" i="1"/>
  <c r="T1534" i="1" s="1"/>
  <c r="E1534" i="1"/>
  <c r="D1534" i="1"/>
  <c r="L1533" i="1"/>
  <c r="T1533" i="1" s="1"/>
  <c r="E1533" i="1"/>
  <c r="D1533" i="1"/>
  <c r="L1532" i="1"/>
  <c r="T1532" i="1" s="1"/>
  <c r="E1532" i="1"/>
  <c r="D1532" i="1"/>
  <c r="L1531" i="1"/>
  <c r="T1531" i="1" s="1"/>
  <c r="E1531" i="1"/>
  <c r="D1531" i="1"/>
  <c r="L1530" i="1"/>
  <c r="T1530" i="1" s="1"/>
  <c r="E1530" i="1"/>
  <c r="D1530" i="1"/>
  <c r="L1529" i="1"/>
  <c r="T1529" i="1" s="1"/>
  <c r="E1529" i="1"/>
  <c r="D1529" i="1"/>
  <c r="L1528" i="1"/>
  <c r="T1528" i="1" s="1"/>
  <c r="E1528" i="1"/>
  <c r="D1528" i="1"/>
  <c r="L1527" i="1"/>
  <c r="T1527" i="1" s="1"/>
  <c r="E1527" i="1"/>
  <c r="D1527" i="1"/>
  <c r="L1526" i="1"/>
  <c r="T1526" i="1" s="1"/>
  <c r="E1526" i="1"/>
  <c r="D1526" i="1"/>
  <c r="L1525" i="1"/>
  <c r="T1525" i="1" s="1"/>
  <c r="E1525" i="1"/>
  <c r="D1525" i="1"/>
  <c r="L1524" i="1"/>
  <c r="T1524" i="1" s="1"/>
  <c r="E1524" i="1"/>
  <c r="D1524" i="1"/>
  <c r="L1523" i="1"/>
  <c r="T1523" i="1" s="1"/>
  <c r="E1523" i="1"/>
  <c r="D1523" i="1"/>
  <c r="L1522" i="1"/>
  <c r="T1522" i="1" s="1"/>
  <c r="E1522" i="1"/>
  <c r="D1522" i="1"/>
  <c r="L1521" i="1"/>
  <c r="T1521" i="1" s="1"/>
  <c r="E1521" i="1"/>
  <c r="D1521" i="1"/>
  <c r="L1520" i="1"/>
  <c r="T1520" i="1" s="1"/>
  <c r="E1520" i="1"/>
  <c r="D1520" i="1"/>
  <c r="L1519" i="1"/>
  <c r="T1519" i="1" s="1"/>
  <c r="E1519" i="1"/>
  <c r="D1519" i="1"/>
  <c r="L1518" i="1"/>
  <c r="T1518" i="1" s="1"/>
  <c r="E1518" i="1"/>
  <c r="D1518" i="1"/>
  <c r="L1517" i="1"/>
  <c r="T1517" i="1" s="1"/>
  <c r="E1517" i="1"/>
  <c r="D1517" i="1"/>
  <c r="L1516" i="1"/>
  <c r="T1516" i="1" s="1"/>
  <c r="E1516" i="1"/>
  <c r="D1516" i="1"/>
  <c r="L1515" i="1"/>
  <c r="T1515" i="1" s="1"/>
  <c r="E1515" i="1"/>
  <c r="D1515" i="1"/>
  <c r="L1514" i="1"/>
  <c r="T1514" i="1" s="1"/>
  <c r="E1514" i="1"/>
  <c r="D1514" i="1"/>
  <c r="L1513" i="1"/>
  <c r="T1513" i="1" s="1"/>
  <c r="E1513" i="1"/>
  <c r="D1513" i="1"/>
  <c r="L1512" i="1"/>
  <c r="T1512" i="1" s="1"/>
  <c r="E1512" i="1"/>
  <c r="D1512" i="1"/>
  <c r="L1511" i="1"/>
  <c r="T1511" i="1" s="1"/>
  <c r="E1511" i="1"/>
  <c r="D1511" i="1"/>
  <c r="L1510" i="1"/>
  <c r="T1510" i="1" s="1"/>
  <c r="E1510" i="1"/>
  <c r="D1510" i="1"/>
  <c r="L1509" i="1"/>
  <c r="T1509" i="1" s="1"/>
  <c r="E1509" i="1"/>
  <c r="D1509" i="1"/>
  <c r="L1508" i="1"/>
  <c r="T1508" i="1" s="1"/>
  <c r="E1508" i="1"/>
  <c r="D1508" i="1"/>
  <c r="L1507" i="1"/>
  <c r="T1507" i="1" s="1"/>
  <c r="E1507" i="1"/>
  <c r="D1507" i="1"/>
  <c r="L1506" i="1"/>
  <c r="T1506" i="1" s="1"/>
  <c r="E1506" i="1"/>
  <c r="D1506" i="1"/>
  <c r="L1505" i="1"/>
  <c r="T1505" i="1" s="1"/>
  <c r="E1505" i="1"/>
  <c r="D1505" i="1"/>
  <c r="L1504" i="1"/>
  <c r="T1504" i="1" s="1"/>
  <c r="E1504" i="1"/>
  <c r="D1504" i="1"/>
  <c r="L1503" i="1"/>
  <c r="T1503" i="1" s="1"/>
  <c r="E1503" i="1"/>
  <c r="D1503" i="1"/>
  <c r="L1502" i="1"/>
  <c r="T1502" i="1" s="1"/>
  <c r="E1502" i="1"/>
  <c r="D1502" i="1"/>
  <c r="L1501" i="1"/>
  <c r="T1501" i="1" s="1"/>
  <c r="E1501" i="1"/>
  <c r="D1501" i="1"/>
  <c r="L1500" i="1"/>
  <c r="T1500" i="1" s="1"/>
  <c r="E1500" i="1"/>
  <c r="D1500" i="1"/>
  <c r="L1499" i="1"/>
  <c r="T1499" i="1" s="1"/>
  <c r="E1499" i="1"/>
  <c r="D1499" i="1"/>
  <c r="L1498" i="1"/>
  <c r="T1498" i="1" s="1"/>
  <c r="E1498" i="1"/>
  <c r="D1498" i="1"/>
  <c r="L1497" i="1"/>
  <c r="T1497" i="1" s="1"/>
  <c r="E1497" i="1"/>
  <c r="D1497" i="1"/>
  <c r="L1496" i="1"/>
  <c r="T1496" i="1" s="1"/>
  <c r="E1496" i="1"/>
  <c r="D1496" i="1"/>
  <c r="L1495" i="1"/>
  <c r="T1495" i="1" s="1"/>
  <c r="E1495" i="1"/>
  <c r="D1495" i="1"/>
  <c r="L1494" i="1"/>
  <c r="T1494" i="1" s="1"/>
  <c r="E1494" i="1"/>
  <c r="D1494" i="1"/>
  <c r="L1493" i="1"/>
  <c r="T1493" i="1" s="1"/>
  <c r="E1493" i="1"/>
  <c r="D1493" i="1"/>
  <c r="L1492" i="1"/>
  <c r="T1492" i="1" s="1"/>
  <c r="E1492" i="1"/>
  <c r="D1492" i="1"/>
  <c r="L1491" i="1"/>
  <c r="T1491" i="1" s="1"/>
  <c r="E1491" i="1"/>
  <c r="D1491" i="1"/>
  <c r="L1490" i="1"/>
  <c r="T1490" i="1" s="1"/>
  <c r="E1490" i="1"/>
  <c r="D1490" i="1"/>
  <c r="L1489" i="1"/>
  <c r="T1489" i="1" s="1"/>
  <c r="E1489" i="1"/>
  <c r="D1489" i="1"/>
  <c r="L1488" i="1"/>
  <c r="T1488" i="1" s="1"/>
  <c r="E1488" i="1"/>
  <c r="D1488" i="1"/>
  <c r="L1487" i="1"/>
  <c r="T1487" i="1" s="1"/>
  <c r="E1487" i="1"/>
  <c r="D1487" i="1"/>
  <c r="L1486" i="1"/>
  <c r="T1486" i="1" s="1"/>
  <c r="E1486" i="1"/>
  <c r="D1486" i="1"/>
  <c r="L1485" i="1"/>
  <c r="T1485" i="1" s="1"/>
  <c r="E1485" i="1"/>
  <c r="D1485" i="1"/>
  <c r="L1484" i="1"/>
  <c r="T1484" i="1" s="1"/>
  <c r="E1484" i="1"/>
  <c r="D1484" i="1"/>
  <c r="L1483" i="1"/>
  <c r="T1483" i="1" s="1"/>
  <c r="E1483" i="1"/>
  <c r="D1483" i="1"/>
  <c r="L1482" i="1"/>
  <c r="T1482" i="1" s="1"/>
  <c r="E1482" i="1"/>
  <c r="D1482" i="1"/>
  <c r="L1481" i="1"/>
  <c r="T1481" i="1" s="1"/>
  <c r="E1481" i="1"/>
  <c r="D1481" i="1"/>
  <c r="L1480" i="1"/>
  <c r="T1480" i="1" s="1"/>
  <c r="E1480" i="1"/>
  <c r="D1480" i="1"/>
  <c r="L1479" i="1"/>
  <c r="T1479" i="1" s="1"/>
  <c r="E1479" i="1"/>
  <c r="D1479" i="1"/>
  <c r="L1478" i="1"/>
  <c r="T1478" i="1" s="1"/>
  <c r="E1478" i="1"/>
  <c r="D1478" i="1"/>
  <c r="L1477" i="1"/>
  <c r="T1477" i="1" s="1"/>
  <c r="E1477" i="1"/>
  <c r="D1477" i="1"/>
  <c r="L1476" i="1"/>
  <c r="T1476" i="1" s="1"/>
  <c r="E1476" i="1"/>
  <c r="D1476" i="1"/>
  <c r="L1475" i="1"/>
  <c r="T1475" i="1" s="1"/>
  <c r="E1475" i="1"/>
  <c r="D1475" i="1"/>
  <c r="L1474" i="1"/>
  <c r="T1474" i="1" s="1"/>
  <c r="E1474" i="1"/>
  <c r="D1474" i="1"/>
  <c r="L1473" i="1"/>
  <c r="T1473" i="1" s="1"/>
  <c r="E1473" i="1"/>
  <c r="D1473" i="1"/>
  <c r="L1472" i="1"/>
  <c r="T1472" i="1" s="1"/>
  <c r="E1472" i="1"/>
  <c r="D1472" i="1"/>
  <c r="L1471" i="1"/>
  <c r="T1471" i="1" s="1"/>
  <c r="E1471" i="1"/>
  <c r="D1471" i="1"/>
  <c r="L1470" i="1"/>
  <c r="T1470" i="1" s="1"/>
  <c r="E1470" i="1"/>
  <c r="D1470" i="1"/>
  <c r="L1469" i="1"/>
  <c r="T1469" i="1" s="1"/>
  <c r="E1469" i="1"/>
  <c r="D1469" i="1"/>
  <c r="L1468" i="1"/>
  <c r="T1468" i="1" s="1"/>
  <c r="E1468" i="1"/>
  <c r="D1468" i="1"/>
  <c r="L1467" i="1"/>
  <c r="T1467" i="1" s="1"/>
  <c r="E1467" i="1"/>
  <c r="D1467" i="1"/>
  <c r="L1466" i="1"/>
  <c r="T1466" i="1" s="1"/>
  <c r="E1466" i="1"/>
  <c r="D1466" i="1"/>
  <c r="L1465" i="1"/>
  <c r="T1465" i="1" s="1"/>
  <c r="E1465" i="1"/>
  <c r="D1465" i="1"/>
  <c r="L1464" i="1"/>
  <c r="T1464" i="1" s="1"/>
  <c r="E1464" i="1"/>
  <c r="D1464" i="1"/>
  <c r="L1463" i="1"/>
  <c r="T1463" i="1" s="1"/>
  <c r="E1463" i="1"/>
  <c r="D1463" i="1"/>
  <c r="L1462" i="1"/>
  <c r="T1462" i="1" s="1"/>
  <c r="E1462" i="1"/>
  <c r="D1462" i="1"/>
  <c r="L1461" i="1"/>
  <c r="T1461" i="1" s="1"/>
  <c r="E1461" i="1"/>
  <c r="D1461" i="1"/>
  <c r="L1460" i="1"/>
  <c r="T1460" i="1" s="1"/>
  <c r="E1460" i="1"/>
  <c r="D1460" i="1"/>
  <c r="L1459" i="1"/>
  <c r="T1459" i="1" s="1"/>
  <c r="E1459" i="1"/>
  <c r="D1459" i="1"/>
  <c r="L1458" i="1"/>
  <c r="T1458" i="1" s="1"/>
  <c r="E1458" i="1"/>
  <c r="D1458" i="1"/>
  <c r="L1457" i="1"/>
  <c r="T1457" i="1" s="1"/>
  <c r="E1457" i="1"/>
  <c r="D1457" i="1"/>
  <c r="L1456" i="1"/>
  <c r="T1456" i="1" s="1"/>
  <c r="E1456" i="1"/>
  <c r="D1456" i="1"/>
  <c r="L1455" i="1"/>
  <c r="T1455" i="1" s="1"/>
  <c r="E1455" i="1"/>
  <c r="D1455" i="1"/>
  <c r="L1454" i="1"/>
  <c r="T1454" i="1" s="1"/>
  <c r="E1454" i="1"/>
  <c r="D1454" i="1"/>
  <c r="L1453" i="1"/>
  <c r="T1453" i="1" s="1"/>
  <c r="E1453" i="1"/>
  <c r="D1453" i="1"/>
  <c r="L1452" i="1"/>
  <c r="T1452" i="1" s="1"/>
  <c r="E1452" i="1"/>
  <c r="D1452" i="1"/>
  <c r="L1451" i="1"/>
  <c r="T1451" i="1" s="1"/>
  <c r="E1451" i="1"/>
  <c r="D1451" i="1"/>
  <c r="L1450" i="1"/>
  <c r="T1450" i="1" s="1"/>
  <c r="E1450" i="1"/>
  <c r="D1450" i="1"/>
  <c r="L1449" i="1"/>
  <c r="T1449" i="1" s="1"/>
  <c r="E1449" i="1"/>
  <c r="D1449" i="1"/>
  <c r="L1448" i="1"/>
  <c r="T1448" i="1" s="1"/>
  <c r="E1448" i="1"/>
  <c r="D1448" i="1"/>
  <c r="L1447" i="1"/>
  <c r="T1447" i="1" s="1"/>
  <c r="E1447" i="1"/>
  <c r="D1447" i="1"/>
  <c r="L1446" i="1"/>
  <c r="T1446" i="1" s="1"/>
  <c r="E1446" i="1"/>
  <c r="D1446" i="1"/>
  <c r="L1445" i="1"/>
  <c r="T1445" i="1" s="1"/>
  <c r="E1445" i="1"/>
  <c r="D1445" i="1"/>
  <c r="L1444" i="1"/>
  <c r="T1444" i="1" s="1"/>
  <c r="E1444" i="1"/>
  <c r="D1444" i="1"/>
  <c r="L1443" i="1"/>
  <c r="T1443" i="1" s="1"/>
  <c r="E1443" i="1"/>
  <c r="D1443" i="1"/>
  <c r="L1442" i="1"/>
  <c r="T1442" i="1" s="1"/>
  <c r="E1442" i="1"/>
  <c r="D1442" i="1"/>
  <c r="L1441" i="1"/>
  <c r="T1441" i="1" s="1"/>
  <c r="E1441" i="1"/>
  <c r="D1441" i="1"/>
  <c r="L1440" i="1"/>
  <c r="T1440" i="1" s="1"/>
  <c r="E1440" i="1"/>
  <c r="D1440" i="1"/>
  <c r="L1439" i="1"/>
  <c r="T1439" i="1" s="1"/>
  <c r="E1439" i="1"/>
  <c r="D1439" i="1"/>
  <c r="L1438" i="1"/>
  <c r="T1438" i="1" s="1"/>
  <c r="E1438" i="1"/>
  <c r="D1438" i="1"/>
  <c r="L1437" i="1"/>
  <c r="T1437" i="1" s="1"/>
  <c r="E1437" i="1"/>
  <c r="D1437" i="1"/>
  <c r="L1436" i="1"/>
  <c r="T1436" i="1" s="1"/>
  <c r="E1436" i="1"/>
  <c r="D1436" i="1"/>
  <c r="L1435" i="1"/>
  <c r="T1435" i="1" s="1"/>
  <c r="E1435" i="1"/>
  <c r="D1435" i="1"/>
  <c r="L1434" i="1"/>
  <c r="T1434" i="1" s="1"/>
  <c r="E1434" i="1"/>
  <c r="D1434" i="1"/>
  <c r="L1433" i="1"/>
  <c r="T1433" i="1" s="1"/>
  <c r="E1433" i="1"/>
  <c r="D1433" i="1"/>
  <c r="L1432" i="1"/>
  <c r="T1432" i="1" s="1"/>
  <c r="E1432" i="1"/>
  <c r="D1432" i="1"/>
  <c r="L1431" i="1"/>
  <c r="T1431" i="1" s="1"/>
  <c r="E1431" i="1"/>
  <c r="D1431" i="1"/>
  <c r="L1430" i="1"/>
  <c r="T1430" i="1" s="1"/>
  <c r="E1430" i="1"/>
  <c r="D1430" i="1"/>
  <c r="L1429" i="1"/>
  <c r="T1429" i="1" s="1"/>
  <c r="E1429" i="1"/>
  <c r="D1429" i="1"/>
  <c r="L1428" i="1"/>
  <c r="T1428" i="1" s="1"/>
  <c r="E1428" i="1"/>
  <c r="D1428" i="1"/>
  <c r="L1427" i="1"/>
  <c r="T1427" i="1" s="1"/>
  <c r="E1427" i="1"/>
  <c r="D1427" i="1"/>
  <c r="L1426" i="1"/>
  <c r="T1426" i="1" s="1"/>
  <c r="E1426" i="1"/>
  <c r="D1426" i="1"/>
  <c r="L1425" i="1"/>
  <c r="T1425" i="1" s="1"/>
  <c r="E1425" i="1"/>
  <c r="D1425" i="1"/>
  <c r="L1424" i="1"/>
  <c r="T1424" i="1" s="1"/>
  <c r="E1424" i="1"/>
  <c r="D1424" i="1"/>
  <c r="L1423" i="1"/>
  <c r="T1423" i="1" s="1"/>
  <c r="E1423" i="1"/>
  <c r="D1423" i="1"/>
  <c r="L1422" i="1"/>
  <c r="T1422" i="1" s="1"/>
  <c r="E1422" i="1"/>
  <c r="D1422" i="1"/>
  <c r="L1421" i="1"/>
  <c r="T1421" i="1" s="1"/>
  <c r="E1421" i="1"/>
  <c r="D1421" i="1"/>
  <c r="L1420" i="1"/>
  <c r="T1420" i="1" s="1"/>
  <c r="E1420" i="1"/>
  <c r="D1420" i="1"/>
  <c r="L1419" i="1"/>
  <c r="T1419" i="1" s="1"/>
  <c r="E1419" i="1"/>
  <c r="D1419" i="1"/>
  <c r="L1418" i="1"/>
  <c r="T1418" i="1" s="1"/>
  <c r="E1418" i="1"/>
  <c r="D1418" i="1"/>
  <c r="L1417" i="1"/>
  <c r="T1417" i="1" s="1"/>
  <c r="E1417" i="1"/>
  <c r="D1417" i="1"/>
  <c r="L1416" i="1"/>
  <c r="T1416" i="1" s="1"/>
  <c r="E1416" i="1"/>
  <c r="D1416" i="1"/>
  <c r="L1415" i="1"/>
  <c r="T1415" i="1" s="1"/>
  <c r="E1415" i="1"/>
  <c r="D1415" i="1"/>
  <c r="L1414" i="1"/>
  <c r="T1414" i="1" s="1"/>
  <c r="E1414" i="1"/>
  <c r="D1414" i="1"/>
  <c r="L1413" i="1"/>
  <c r="T1413" i="1" s="1"/>
  <c r="E1413" i="1"/>
  <c r="D1413" i="1"/>
  <c r="L1412" i="1"/>
  <c r="T1412" i="1" s="1"/>
  <c r="E1412" i="1"/>
  <c r="D1412" i="1"/>
  <c r="L1411" i="1"/>
  <c r="T1411" i="1" s="1"/>
  <c r="E1411" i="1"/>
  <c r="D1411" i="1"/>
  <c r="L1410" i="1"/>
  <c r="T1410" i="1" s="1"/>
  <c r="E1410" i="1"/>
  <c r="D1410" i="1"/>
  <c r="L1409" i="1"/>
  <c r="T1409" i="1" s="1"/>
  <c r="E1409" i="1"/>
  <c r="D1409" i="1"/>
  <c r="L1408" i="1"/>
  <c r="T1408" i="1" s="1"/>
  <c r="E1408" i="1"/>
  <c r="D1408" i="1"/>
  <c r="L1407" i="1"/>
  <c r="T1407" i="1" s="1"/>
  <c r="E1407" i="1"/>
  <c r="D1407" i="1"/>
  <c r="L1406" i="1"/>
  <c r="T1406" i="1" s="1"/>
  <c r="E1406" i="1"/>
  <c r="D1406" i="1"/>
  <c r="L1405" i="1"/>
  <c r="T1405" i="1" s="1"/>
  <c r="E1405" i="1"/>
  <c r="D1405" i="1"/>
  <c r="L1404" i="1"/>
  <c r="T1404" i="1" s="1"/>
  <c r="E1404" i="1"/>
  <c r="D1404" i="1"/>
  <c r="L1403" i="1"/>
  <c r="T1403" i="1" s="1"/>
  <c r="E1403" i="1"/>
  <c r="D1403" i="1"/>
  <c r="L1402" i="1"/>
  <c r="T1402" i="1" s="1"/>
  <c r="E1402" i="1"/>
  <c r="D1402" i="1"/>
  <c r="L1401" i="1"/>
  <c r="T1401" i="1" s="1"/>
  <c r="E1401" i="1"/>
  <c r="D1401" i="1"/>
  <c r="L1400" i="1"/>
  <c r="T1400" i="1" s="1"/>
  <c r="E1400" i="1"/>
  <c r="D1400" i="1"/>
  <c r="L1399" i="1"/>
  <c r="T1399" i="1" s="1"/>
  <c r="E1399" i="1"/>
  <c r="D1399" i="1"/>
  <c r="L1398" i="1"/>
  <c r="T1398" i="1" s="1"/>
  <c r="E1398" i="1"/>
  <c r="D1398" i="1"/>
  <c r="L1397" i="1"/>
  <c r="T1397" i="1" s="1"/>
  <c r="E1397" i="1"/>
  <c r="D1397" i="1"/>
  <c r="L1396" i="1"/>
  <c r="T1396" i="1" s="1"/>
  <c r="E1396" i="1"/>
  <c r="D1396" i="1"/>
  <c r="L1395" i="1"/>
  <c r="T1395" i="1" s="1"/>
  <c r="E1395" i="1"/>
  <c r="D1395" i="1"/>
  <c r="L1394" i="1"/>
  <c r="T1394" i="1" s="1"/>
  <c r="E1394" i="1"/>
  <c r="D1394" i="1"/>
  <c r="L1393" i="1"/>
  <c r="T1393" i="1" s="1"/>
  <c r="E1393" i="1"/>
  <c r="D1393" i="1"/>
  <c r="L1392" i="1"/>
  <c r="T1392" i="1" s="1"/>
  <c r="E1392" i="1"/>
  <c r="D1392" i="1"/>
  <c r="L1391" i="1"/>
  <c r="T1391" i="1" s="1"/>
  <c r="E1391" i="1"/>
  <c r="D1391" i="1"/>
  <c r="L1390" i="1"/>
  <c r="T1390" i="1" s="1"/>
  <c r="E1390" i="1"/>
  <c r="D1390" i="1"/>
  <c r="L1389" i="1"/>
  <c r="T1389" i="1" s="1"/>
  <c r="E1389" i="1"/>
  <c r="D1389" i="1"/>
  <c r="L1388" i="1"/>
  <c r="T1388" i="1" s="1"/>
  <c r="E1388" i="1"/>
  <c r="D1388" i="1"/>
  <c r="L1387" i="1"/>
  <c r="T1387" i="1" s="1"/>
  <c r="E1387" i="1"/>
  <c r="D1387" i="1"/>
  <c r="L1386" i="1"/>
  <c r="T1386" i="1" s="1"/>
  <c r="E1386" i="1"/>
  <c r="D1386" i="1"/>
  <c r="L1385" i="1"/>
  <c r="T1385" i="1" s="1"/>
  <c r="E1385" i="1"/>
  <c r="D1385" i="1"/>
  <c r="L1384" i="1"/>
  <c r="T1384" i="1" s="1"/>
  <c r="E1384" i="1"/>
  <c r="D1384" i="1"/>
  <c r="L1383" i="1"/>
  <c r="T1383" i="1" s="1"/>
  <c r="E1383" i="1"/>
  <c r="D1383" i="1"/>
  <c r="L1382" i="1"/>
  <c r="T1382" i="1" s="1"/>
  <c r="E1382" i="1"/>
  <c r="D1382" i="1"/>
  <c r="L1381" i="1"/>
  <c r="T1381" i="1" s="1"/>
  <c r="E1381" i="1"/>
  <c r="D1381" i="1"/>
  <c r="L1380" i="1"/>
  <c r="T1380" i="1" s="1"/>
  <c r="E1380" i="1"/>
  <c r="D1380" i="1"/>
  <c r="L1379" i="1"/>
  <c r="T1379" i="1" s="1"/>
  <c r="E1379" i="1"/>
  <c r="D1379" i="1"/>
  <c r="L1378" i="1"/>
  <c r="T1378" i="1" s="1"/>
  <c r="E1378" i="1"/>
  <c r="D1378" i="1"/>
  <c r="L1377" i="1"/>
  <c r="T1377" i="1" s="1"/>
  <c r="E1377" i="1"/>
  <c r="D1377" i="1"/>
  <c r="L1376" i="1"/>
  <c r="T1376" i="1" s="1"/>
  <c r="E1376" i="1"/>
  <c r="D1376" i="1"/>
  <c r="L1375" i="1"/>
  <c r="T1375" i="1" s="1"/>
  <c r="E1375" i="1"/>
  <c r="D1375" i="1"/>
  <c r="L1374" i="1"/>
  <c r="T1374" i="1" s="1"/>
  <c r="E1374" i="1"/>
  <c r="D1374" i="1"/>
  <c r="L1373" i="1"/>
  <c r="T1373" i="1" s="1"/>
  <c r="E1373" i="1"/>
  <c r="D1373" i="1"/>
  <c r="L1372" i="1"/>
  <c r="T1372" i="1" s="1"/>
  <c r="E1372" i="1"/>
  <c r="D1372" i="1"/>
  <c r="L1371" i="1"/>
  <c r="T1371" i="1" s="1"/>
  <c r="E1371" i="1"/>
  <c r="D1371" i="1"/>
  <c r="L1370" i="1"/>
  <c r="T1370" i="1" s="1"/>
  <c r="E1370" i="1"/>
  <c r="D1370" i="1"/>
  <c r="L1369" i="1"/>
  <c r="T1369" i="1" s="1"/>
  <c r="E1369" i="1"/>
  <c r="D1369" i="1"/>
  <c r="L1368" i="1"/>
  <c r="T1368" i="1" s="1"/>
  <c r="E1368" i="1"/>
  <c r="D1368" i="1"/>
  <c r="L1367" i="1"/>
  <c r="T1367" i="1" s="1"/>
  <c r="E1367" i="1"/>
  <c r="D1367" i="1"/>
  <c r="L1366" i="1"/>
  <c r="T1366" i="1" s="1"/>
  <c r="E1366" i="1"/>
  <c r="D1366" i="1"/>
  <c r="L1365" i="1"/>
  <c r="T1365" i="1" s="1"/>
  <c r="E1365" i="1"/>
  <c r="D1365" i="1"/>
  <c r="L1364" i="1"/>
  <c r="T1364" i="1" s="1"/>
  <c r="E1364" i="1"/>
  <c r="D1364" i="1"/>
  <c r="L1363" i="1"/>
  <c r="T1363" i="1" s="1"/>
  <c r="E1363" i="1"/>
  <c r="D1363" i="1"/>
  <c r="L1362" i="1"/>
  <c r="T1362" i="1" s="1"/>
  <c r="E1362" i="1"/>
  <c r="D1362" i="1"/>
  <c r="L1361" i="1"/>
  <c r="T1361" i="1" s="1"/>
  <c r="E1361" i="1"/>
  <c r="D1361" i="1"/>
  <c r="L1360" i="1"/>
  <c r="T1360" i="1" s="1"/>
  <c r="E1360" i="1"/>
  <c r="D1360" i="1"/>
  <c r="L1359" i="1"/>
  <c r="T1359" i="1" s="1"/>
  <c r="E1359" i="1"/>
  <c r="D1359" i="1"/>
  <c r="L1358" i="1"/>
  <c r="T1358" i="1" s="1"/>
  <c r="E1358" i="1"/>
  <c r="D1358" i="1"/>
  <c r="L1357" i="1"/>
  <c r="T1357" i="1" s="1"/>
  <c r="E1357" i="1"/>
  <c r="D1357" i="1"/>
  <c r="L1356" i="1"/>
  <c r="T1356" i="1" s="1"/>
  <c r="E1356" i="1"/>
  <c r="D1356" i="1"/>
  <c r="L1355" i="1"/>
  <c r="T1355" i="1" s="1"/>
  <c r="E1355" i="1"/>
  <c r="D1355" i="1"/>
  <c r="L1354" i="1"/>
  <c r="T1354" i="1" s="1"/>
  <c r="E1354" i="1"/>
  <c r="D1354" i="1"/>
  <c r="L1353" i="1"/>
  <c r="T1353" i="1" s="1"/>
  <c r="E1353" i="1"/>
  <c r="D1353" i="1"/>
  <c r="L1352" i="1"/>
  <c r="T1352" i="1" s="1"/>
  <c r="E1352" i="1"/>
  <c r="D1352" i="1"/>
  <c r="L1351" i="1"/>
  <c r="T1351" i="1" s="1"/>
  <c r="E1351" i="1"/>
  <c r="D1351" i="1"/>
  <c r="L1350" i="1"/>
  <c r="T1350" i="1" s="1"/>
  <c r="E1350" i="1"/>
  <c r="D1350" i="1"/>
  <c r="L1349" i="1"/>
  <c r="T1349" i="1" s="1"/>
  <c r="E1349" i="1"/>
  <c r="D1349" i="1"/>
  <c r="L1348" i="1"/>
  <c r="T1348" i="1" s="1"/>
  <c r="E1348" i="1"/>
  <c r="D1348" i="1"/>
  <c r="L1347" i="1"/>
  <c r="T1347" i="1" s="1"/>
  <c r="E1347" i="1"/>
  <c r="D1347" i="1"/>
  <c r="L1346" i="1"/>
  <c r="T1346" i="1" s="1"/>
  <c r="E1346" i="1"/>
  <c r="D1346" i="1"/>
  <c r="L1345" i="1"/>
  <c r="T1345" i="1" s="1"/>
  <c r="E1345" i="1"/>
  <c r="D1345" i="1"/>
  <c r="L1344" i="1"/>
  <c r="T1344" i="1" s="1"/>
  <c r="E1344" i="1"/>
  <c r="D1344" i="1"/>
  <c r="L1343" i="1"/>
  <c r="T1343" i="1" s="1"/>
  <c r="E1343" i="1"/>
  <c r="D1343" i="1"/>
  <c r="L1342" i="1"/>
  <c r="T1342" i="1" s="1"/>
  <c r="E1342" i="1"/>
  <c r="D1342" i="1"/>
  <c r="L1341" i="1"/>
  <c r="T1341" i="1" s="1"/>
  <c r="E1341" i="1"/>
  <c r="D1341" i="1"/>
  <c r="L1340" i="1"/>
  <c r="T1340" i="1" s="1"/>
  <c r="E1340" i="1"/>
  <c r="D1340" i="1"/>
  <c r="L1339" i="1"/>
  <c r="T1339" i="1" s="1"/>
  <c r="E1339" i="1"/>
  <c r="D1339" i="1"/>
  <c r="L1338" i="1"/>
  <c r="T1338" i="1" s="1"/>
  <c r="E1338" i="1"/>
  <c r="D1338" i="1"/>
  <c r="L1337" i="1"/>
  <c r="T1337" i="1" s="1"/>
  <c r="E1337" i="1"/>
  <c r="D1337" i="1"/>
  <c r="L1336" i="1"/>
  <c r="T1336" i="1" s="1"/>
  <c r="E1336" i="1"/>
  <c r="D1336" i="1"/>
  <c r="L1335" i="1"/>
  <c r="T1335" i="1" s="1"/>
  <c r="E1335" i="1"/>
  <c r="D1335" i="1"/>
  <c r="L1334" i="1"/>
  <c r="T1334" i="1" s="1"/>
  <c r="E1334" i="1"/>
  <c r="D1334" i="1"/>
  <c r="L1333" i="1"/>
  <c r="T1333" i="1" s="1"/>
  <c r="E1333" i="1"/>
  <c r="D1333" i="1"/>
  <c r="L1332" i="1"/>
  <c r="T1332" i="1" s="1"/>
  <c r="E1332" i="1"/>
  <c r="D1332" i="1"/>
  <c r="L1331" i="1"/>
  <c r="T1331" i="1" s="1"/>
  <c r="E1331" i="1"/>
  <c r="D1331" i="1"/>
  <c r="L1330" i="1"/>
  <c r="T1330" i="1" s="1"/>
  <c r="E1330" i="1"/>
  <c r="D1330" i="1"/>
  <c r="L1329" i="1"/>
  <c r="T1329" i="1" s="1"/>
  <c r="E1329" i="1"/>
  <c r="D1329" i="1"/>
  <c r="L1328" i="1"/>
  <c r="T1328" i="1" s="1"/>
  <c r="E1328" i="1"/>
  <c r="D1328" i="1"/>
  <c r="L1327" i="1"/>
  <c r="T1327" i="1" s="1"/>
  <c r="E1327" i="1"/>
  <c r="D1327" i="1"/>
  <c r="L1326" i="1"/>
  <c r="T1326" i="1" s="1"/>
  <c r="E1326" i="1"/>
  <c r="D1326" i="1"/>
  <c r="L1325" i="1"/>
  <c r="T1325" i="1" s="1"/>
  <c r="E1325" i="1"/>
  <c r="D1325" i="1"/>
  <c r="L1324" i="1"/>
  <c r="T1324" i="1" s="1"/>
  <c r="E1324" i="1"/>
  <c r="D1324" i="1"/>
  <c r="L1323" i="1"/>
  <c r="T1323" i="1" s="1"/>
  <c r="E1323" i="1"/>
  <c r="D1323" i="1"/>
  <c r="L1322" i="1"/>
  <c r="T1322" i="1" s="1"/>
  <c r="E1322" i="1"/>
  <c r="D1322" i="1"/>
  <c r="L1321" i="1"/>
  <c r="T1321" i="1" s="1"/>
  <c r="E1321" i="1"/>
  <c r="D1321" i="1"/>
  <c r="L1320" i="1"/>
  <c r="T1320" i="1" s="1"/>
  <c r="E1320" i="1"/>
  <c r="D1320" i="1"/>
  <c r="L1319" i="1"/>
  <c r="T1319" i="1" s="1"/>
  <c r="E1319" i="1"/>
  <c r="D1319" i="1"/>
  <c r="L1318" i="1"/>
  <c r="T1318" i="1" s="1"/>
  <c r="E1318" i="1"/>
  <c r="D1318" i="1"/>
  <c r="L1317" i="1"/>
  <c r="T1317" i="1" s="1"/>
  <c r="E1317" i="1"/>
  <c r="D1317" i="1"/>
  <c r="L1316" i="1"/>
  <c r="T1316" i="1" s="1"/>
  <c r="E1316" i="1"/>
  <c r="D1316" i="1"/>
  <c r="L1315" i="1"/>
  <c r="T1315" i="1" s="1"/>
  <c r="E1315" i="1"/>
  <c r="D1315" i="1"/>
  <c r="L1314" i="1"/>
  <c r="T1314" i="1" s="1"/>
  <c r="E1314" i="1"/>
  <c r="D1314" i="1"/>
  <c r="L1313" i="1"/>
  <c r="T1313" i="1" s="1"/>
  <c r="E1313" i="1"/>
  <c r="D1313" i="1"/>
  <c r="L1312" i="1"/>
  <c r="T1312" i="1" s="1"/>
  <c r="E1312" i="1"/>
  <c r="D1312" i="1"/>
  <c r="L1311" i="1"/>
  <c r="T1311" i="1" s="1"/>
  <c r="E1311" i="1"/>
  <c r="D1311" i="1"/>
  <c r="L1310" i="1"/>
  <c r="T1310" i="1" s="1"/>
  <c r="E1310" i="1"/>
  <c r="D1310" i="1"/>
  <c r="L1309" i="1"/>
  <c r="T1309" i="1" s="1"/>
  <c r="E1309" i="1"/>
  <c r="D1309" i="1"/>
  <c r="L1308" i="1"/>
  <c r="T1308" i="1" s="1"/>
  <c r="E1308" i="1"/>
  <c r="D1308" i="1"/>
  <c r="L1307" i="1"/>
  <c r="T1307" i="1" s="1"/>
  <c r="E1307" i="1"/>
  <c r="D1307" i="1"/>
  <c r="L1306" i="1"/>
  <c r="T1306" i="1" s="1"/>
  <c r="E1306" i="1"/>
  <c r="D1306" i="1"/>
  <c r="L1305" i="1"/>
  <c r="T1305" i="1" s="1"/>
  <c r="E1305" i="1"/>
  <c r="D1305" i="1"/>
  <c r="L1304" i="1"/>
  <c r="T1304" i="1" s="1"/>
  <c r="E1304" i="1"/>
  <c r="D1304" i="1"/>
  <c r="L1303" i="1"/>
  <c r="T1303" i="1" s="1"/>
  <c r="E1303" i="1"/>
  <c r="D1303" i="1"/>
  <c r="L1302" i="1"/>
  <c r="T1302" i="1" s="1"/>
  <c r="E1302" i="1"/>
  <c r="D1302" i="1"/>
  <c r="L1301" i="1"/>
  <c r="T1301" i="1" s="1"/>
  <c r="E1301" i="1"/>
  <c r="D1301" i="1"/>
  <c r="L1300" i="1"/>
  <c r="T1300" i="1" s="1"/>
  <c r="E1300" i="1"/>
  <c r="D1300" i="1"/>
  <c r="L1299" i="1"/>
  <c r="T1299" i="1" s="1"/>
  <c r="E1299" i="1"/>
  <c r="D1299" i="1"/>
  <c r="L1298" i="1"/>
  <c r="T1298" i="1" s="1"/>
  <c r="E1298" i="1"/>
  <c r="D1298" i="1"/>
  <c r="L1297" i="1"/>
  <c r="T1297" i="1" s="1"/>
  <c r="E1297" i="1"/>
  <c r="D1297" i="1"/>
  <c r="L1296" i="1"/>
  <c r="T1296" i="1" s="1"/>
  <c r="E1296" i="1"/>
  <c r="D1296" i="1"/>
  <c r="L1295" i="1"/>
  <c r="T1295" i="1" s="1"/>
  <c r="E1295" i="1"/>
  <c r="D1295" i="1"/>
  <c r="L1294" i="1"/>
  <c r="T1294" i="1" s="1"/>
  <c r="E1294" i="1"/>
  <c r="D1294" i="1"/>
  <c r="L1293" i="1"/>
  <c r="T1293" i="1" s="1"/>
  <c r="E1293" i="1"/>
  <c r="D1293" i="1"/>
  <c r="L1292" i="1"/>
  <c r="T1292" i="1" s="1"/>
  <c r="E1292" i="1"/>
  <c r="D1292" i="1"/>
  <c r="L1291" i="1"/>
  <c r="T1291" i="1" s="1"/>
  <c r="E1291" i="1"/>
  <c r="D1291" i="1"/>
  <c r="L1290" i="1"/>
  <c r="T1290" i="1" s="1"/>
  <c r="E1290" i="1"/>
  <c r="D1290" i="1"/>
  <c r="L1289" i="1"/>
  <c r="T1289" i="1" s="1"/>
  <c r="E1289" i="1"/>
  <c r="D1289" i="1"/>
  <c r="L1288" i="1"/>
  <c r="T1288" i="1" s="1"/>
  <c r="E1288" i="1"/>
  <c r="D1288" i="1"/>
  <c r="L1287" i="1"/>
  <c r="T1287" i="1" s="1"/>
  <c r="E1287" i="1"/>
  <c r="D1287" i="1"/>
  <c r="L1286" i="1"/>
  <c r="T1286" i="1" s="1"/>
  <c r="E1286" i="1"/>
  <c r="D1286" i="1"/>
  <c r="L1285" i="1"/>
  <c r="T1285" i="1" s="1"/>
  <c r="E1285" i="1"/>
  <c r="D1285" i="1"/>
  <c r="L1284" i="1"/>
  <c r="T1284" i="1" s="1"/>
  <c r="E1284" i="1"/>
  <c r="D1284" i="1"/>
  <c r="L1283" i="1"/>
  <c r="T1283" i="1" s="1"/>
  <c r="E1283" i="1"/>
  <c r="D1283" i="1"/>
  <c r="L1282" i="1"/>
  <c r="T1282" i="1" s="1"/>
  <c r="E1282" i="1"/>
  <c r="D1282" i="1"/>
  <c r="L1281" i="1"/>
  <c r="T1281" i="1" s="1"/>
  <c r="E1281" i="1"/>
  <c r="D1281" i="1"/>
  <c r="L1280" i="1"/>
  <c r="T1280" i="1" s="1"/>
  <c r="E1280" i="1"/>
  <c r="D1280" i="1"/>
  <c r="L1279" i="1"/>
  <c r="T1279" i="1" s="1"/>
  <c r="E1279" i="1"/>
  <c r="D1279" i="1"/>
  <c r="L1278" i="1"/>
  <c r="T1278" i="1" s="1"/>
  <c r="E1278" i="1"/>
  <c r="D1278" i="1"/>
  <c r="L1277" i="1"/>
  <c r="T1277" i="1" s="1"/>
  <c r="E1277" i="1"/>
  <c r="D1277" i="1"/>
  <c r="L1276" i="1"/>
  <c r="T1276" i="1" s="1"/>
  <c r="E1276" i="1"/>
  <c r="D1276" i="1"/>
  <c r="L1275" i="1"/>
  <c r="T1275" i="1" s="1"/>
  <c r="E1275" i="1"/>
  <c r="D1275" i="1"/>
  <c r="L1274" i="1"/>
  <c r="T1274" i="1" s="1"/>
  <c r="E1274" i="1"/>
  <c r="D1274" i="1"/>
  <c r="L1273" i="1"/>
  <c r="T1273" i="1" s="1"/>
  <c r="E1273" i="1"/>
  <c r="D1273" i="1"/>
  <c r="L1272" i="1"/>
  <c r="T1272" i="1" s="1"/>
  <c r="E1272" i="1"/>
  <c r="D1272" i="1"/>
  <c r="L1271" i="1"/>
  <c r="T1271" i="1" s="1"/>
  <c r="E1271" i="1"/>
  <c r="D1271" i="1"/>
  <c r="L1270" i="1"/>
  <c r="T1270" i="1" s="1"/>
  <c r="E1270" i="1"/>
  <c r="D1270" i="1"/>
  <c r="L1269" i="1"/>
  <c r="T1269" i="1" s="1"/>
  <c r="E1269" i="1"/>
  <c r="D1269" i="1"/>
  <c r="L1268" i="1"/>
  <c r="T1268" i="1" s="1"/>
  <c r="E1268" i="1"/>
  <c r="D1268" i="1"/>
  <c r="L1267" i="1"/>
  <c r="T1267" i="1" s="1"/>
  <c r="E1267" i="1"/>
  <c r="D1267" i="1"/>
  <c r="L1266" i="1"/>
  <c r="T1266" i="1" s="1"/>
  <c r="E1266" i="1"/>
  <c r="D1266" i="1"/>
  <c r="L1265" i="1"/>
  <c r="T1265" i="1" s="1"/>
  <c r="E1265" i="1"/>
  <c r="D1265" i="1"/>
  <c r="L1264" i="1"/>
  <c r="T1264" i="1" s="1"/>
  <c r="E1264" i="1"/>
  <c r="D1264" i="1"/>
  <c r="L1263" i="1"/>
  <c r="T1263" i="1" s="1"/>
  <c r="E1263" i="1"/>
  <c r="D1263" i="1"/>
  <c r="L1262" i="1"/>
  <c r="T1262" i="1" s="1"/>
  <c r="E1262" i="1"/>
  <c r="D1262" i="1"/>
  <c r="L1261" i="1"/>
  <c r="T1261" i="1" s="1"/>
  <c r="E1261" i="1"/>
  <c r="D1261" i="1"/>
  <c r="L1260" i="1"/>
  <c r="T1260" i="1" s="1"/>
  <c r="E1260" i="1"/>
  <c r="D1260" i="1"/>
  <c r="L1259" i="1"/>
  <c r="T1259" i="1" s="1"/>
  <c r="E1259" i="1"/>
  <c r="D1259" i="1"/>
  <c r="L1258" i="1"/>
  <c r="T1258" i="1" s="1"/>
  <c r="E1258" i="1"/>
  <c r="D1258" i="1"/>
  <c r="L1257" i="1"/>
  <c r="T1257" i="1" s="1"/>
  <c r="E1257" i="1"/>
  <c r="D1257" i="1"/>
  <c r="L1256" i="1"/>
  <c r="T1256" i="1" s="1"/>
  <c r="E1256" i="1"/>
  <c r="D1256" i="1"/>
  <c r="L1255" i="1"/>
  <c r="T1255" i="1" s="1"/>
  <c r="E1255" i="1"/>
  <c r="D1255" i="1"/>
  <c r="L1254" i="1"/>
  <c r="T1254" i="1" s="1"/>
  <c r="E1254" i="1"/>
  <c r="D1254" i="1"/>
  <c r="L1253" i="1"/>
  <c r="T1253" i="1" s="1"/>
  <c r="E1253" i="1"/>
  <c r="D1253" i="1"/>
  <c r="L1252" i="1"/>
  <c r="T1252" i="1" s="1"/>
  <c r="E1252" i="1"/>
  <c r="D1252" i="1"/>
  <c r="L1251" i="1"/>
  <c r="T1251" i="1" s="1"/>
  <c r="E1251" i="1"/>
  <c r="D1251" i="1"/>
  <c r="L1250" i="1"/>
  <c r="T1250" i="1" s="1"/>
  <c r="E1250" i="1"/>
  <c r="D1250" i="1"/>
  <c r="L1249" i="1"/>
  <c r="T1249" i="1" s="1"/>
  <c r="E1249" i="1"/>
  <c r="D1249" i="1"/>
  <c r="L1248" i="1"/>
  <c r="T1248" i="1" s="1"/>
  <c r="E1248" i="1"/>
  <c r="D1248" i="1"/>
  <c r="L1247" i="1"/>
  <c r="T1247" i="1" s="1"/>
  <c r="E1247" i="1"/>
  <c r="D1247" i="1"/>
  <c r="L1246" i="1"/>
  <c r="T1246" i="1" s="1"/>
  <c r="E1246" i="1"/>
  <c r="D1246" i="1"/>
  <c r="L1245" i="1"/>
  <c r="T1245" i="1" s="1"/>
  <c r="E1245" i="1"/>
  <c r="D1245" i="1"/>
  <c r="L1244" i="1"/>
  <c r="T1244" i="1" s="1"/>
  <c r="E1244" i="1"/>
  <c r="D1244" i="1"/>
  <c r="L1243" i="1"/>
  <c r="T1243" i="1" s="1"/>
  <c r="E1243" i="1"/>
  <c r="D1243" i="1"/>
  <c r="L1242" i="1"/>
  <c r="T1242" i="1" s="1"/>
  <c r="E1242" i="1"/>
  <c r="D1242" i="1"/>
  <c r="L1241" i="1"/>
  <c r="T1241" i="1" s="1"/>
  <c r="E1241" i="1"/>
  <c r="D1241" i="1"/>
  <c r="L1240" i="1"/>
  <c r="T1240" i="1" s="1"/>
  <c r="E1240" i="1"/>
  <c r="D1240" i="1"/>
  <c r="L1239" i="1"/>
  <c r="T1239" i="1" s="1"/>
  <c r="E1239" i="1"/>
  <c r="D1239" i="1"/>
  <c r="L1238" i="1"/>
  <c r="T1238" i="1" s="1"/>
  <c r="E1238" i="1"/>
  <c r="D1238" i="1"/>
  <c r="L1237" i="1"/>
  <c r="T1237" i="1" s="1"/>
  <c r="E1237" i="1"/>
  <c r="D1237" i="1"/>
  <c r="L1236" i="1"/>
  <c r="T1236" i="1" s="1"/>
  <c r="E1236" i="1"/>
  <c r="D1236" i="1"/>
  <c r="L1235" i="1"/>
  <c r="T1235" i="1" s="1"/>
  <c r="E1235" i="1"/>
  <c r="D1235" i="1"/>
  <c r="L1234" i="1"/>
  <c r="T1234" i="1" s="1"/>
  <c r="E1234" i="1"/>
  <c r="D1234" i="1"/>
  <c r="L1233" i="1"/>
  <c r="T1233" i="1" s="1"/>
  <c r="E1233" i="1"/>
  <c r="D1233" i="1"/>
  <c r="L1232" i="1"/>
  <c r="T1232" i="1" s="1"/>
  <c r="E1232" i="1"/>
  <c r="D1232" i="1"/>
  <c r="L1231" i="1"/>
  <c r="T1231" i="1" s="1"/>
  <c r="E1231" i="1"/>
  <c r="D1231" i="1"/>
  <c r="L1230" i="1"/>
  <c r="T1230" i="1" s="1"/>
  <c r="E1230" i="1"/>
  <c r="D1230" i="1"/>
  <c r="L1229" i="1"/>
  <c r="T1229" i="1" s="1"/>
  <c r="E1229" i="1"/>
  <c r="D1229" i="1"/>
  <c r="L1228" i="1"/>
  <c r="T1228" i="1" s="1"/>
  <c r="E1228" i="1"/>
  <c r="D1228" i="1"/>
  <c r="L1227" i="1"/>
  <c r="T1227" i="1" s="1"/>
  <c r="E1227" i="1"/>
  <c r="D1227" i="1"/>
  <c r="L1226" i="1"/>
  <c r="T1226" i="1" s="1"/>
  <c r="E1226" i="1"/>
  <c r="D1226" i="1"/>
  <c r="L1225" i="1"/>
  <c r="T1225" i="1" s="1"/>
  <c r="E1225" i="1"/>
  <c r="D1225" i="1"/>
  <c r="L1224" i="1"/>
  <c r="T1224" i="1" s="1"/>
  <c r="E1224" i="1"/>
  <c r="D1224" i="1"/>
  <c r="L1223" i="1"/>
  <c r="T1223" i="1" s="1"/>
  <c r="E1223" i="1"/>
  <c r="D1223" i="1"/>
  <c r="L1222" i="1"/>
  <c r="T1222" i="1" s="1"/>
  <c r="E1222" i="1"/>
  <c r="D1222" i="1"/>
  <c r="L1221" i="1"/>
  <c r="T1221" i="1" s="1"/>
  <c r="E1221" i="1"/>
  <c r="D1221" i="1"/>
  <c r="L1220" i="1"/>
  <c r="T1220" i="1" s="1"/>
  <c r="E1220" i="1"/>
  <c r="D1220" i="1"/>
  <c r="L1219" i="1"/>
  <c r="T1219" i="1" s="1"/>
  <c r="E1219" i="1"/>
  <c r="D1219" i="1"/>
  <c r="L1218" i="1"/>
  <c r="T1218" i="1" s="1"/>
  <c r="E1218" i="1"/>
  <c r="D1218" i="1"/>
  <c r="L1217" i="1"/>
  <c r="T1217" i="1" s="1"/>
  <c r="E1217" i="1"/>
  <c r="D1217" i="1"/>
  <c r="L1216" i="1"/>
  <c r="T1216" i="1" s="1"/>
  <c r="E1216" i="1"/>
  <c r="D1216" i="1"/>
  <c r="L1215" i="1"/>
  <c r="T1215" i="1" s="1"/>
  <c r="E1215" i="1"/>
  <c r="D1215" i="1"/>
  <c r="L1214" i="1"/>
  <c r="T1214" i="1" s="1"/>
  <c r="E1214" i="1"/>
  <c r="D1214" i="1"/>
  <c r="L1213" i="1"/>
  <c r="T1213" i="1" s="1"/>
  <c r="E1213" i="1"/>
  <c r="D1213" i="1"/>
  <c r="L1212" i="1"/>
  <c r="T1212" i="1" s="1"/>
  <c r="E1212" i="1"/>
  <c r="D1212" i="1"/>
  <c r="L1211" i="1"/>
  <c r="T1211" i="1" s="1"/>
  <c r="E1211" i="1"/>
  <c r="D1211" i="1"/>
  <c r="L1210" i="1"/>
  <c r="T1210" i="1" s="1"/>
  <c r="E1210" i="1"/>
  <c r="D1210" i="1"/>
  <c r="L1209" i="1"/>
  <c r="T1209" i="1" s="1"/>
  <c r="E1209" i="1"/>
  <c r="D1209" i="1"/>
  <c r="L1208" i="1"/>
  <c r="T1208" i="1" s="1"/>
  <c r="E1208" i="1"/>
  <c r="D1208" i="1"/>
  <c r="L1207" i="1"/>
  <c r="T1207" i="1" s="1"/>
  <c r="E1207" i="1"/>
  <c r="D1207" i="1"/>
  <c r="L1206" i="1"/>
  <c r="T1206" i="1" s="1"/>
  <c r="E1206" i="1"/>
  <c r="D1206" i="1"/>
  <c r="L1205" i="1"/>
  <c r="T1205" i="1" s="1"/>
  <c r="E1205" i="1"/>
  <c r="D1205" i="1"/>
  <c r="L1204" i="1"/>
  <c r="T1204" i="1" s="1"/>
  <c r="E1204" i="1"/>
  <c r="D1204" i="1"/>
  <c r="L1203" i="1"/>
  <c r="T1203" i="1" s="1"/>
  <c r="E1203" i="1"/>
  <c r="D1203" i="1"/>
  <c r="L1202" i="1"/>
  <c r="T1202" i="1" s="1"/>
  <c r="E1202" i="1"/>
  <c r="D1202" i="1"/>
  <c r="L1201" i="1"/>
  <c r="T1201" i="1" s="1"/>
  <c r="E1201" i="1"/>
  <c r="D1201" i="1"/>
  <c r="L1200" i="1"/>
  <c r="T1200" i="1" s="1"/>
  <c r="E1200" i="1"/>
  <c r="D1200" i="1"/>
  <c r="L1199" i="1"/>
  <c r="T1199" i="1" s="1"/>
  <c r="E1199" i="1"/>
  <c r="D1199" i="1"/>
  <c r="L1198" i="1"/>
  <c r="T1198" i="1" s="1"/>
  <c r="E1198" i="1"/>
  <c r="D1198" i="1"/>
  <c r="L1197" i="1"/>
  <c r="T1197" i="1" s="1"/>
  <c r="E1197" i="1"/>
  <c r="D1197" i="1"/>
  <c r="L1196" i="1"/>
  <c r="T1196" i="1" s="1"/>
  <c r="E1196" i="1"/>
  <c r="D1196" i="1"/>
  <c r="L1195" i="1"/>
  <c r="T1195" i="1" s="1"/>
  <c r="E1195" i="1"/>
  <c r="D1195" i="1"/>
  <c r="L1194" i="1"/>
  <c r="T1194" i="1" s="1"/>
  <c r="E1194" i="1"/>
  <c r="D1194" i="1"/>
  <c r="L1193" i="1"/>
  <c r="T1193" i="1" s="1"/>
  <c r="E1193" i="1"/>
  <c r="D1193" i="1"/>
  <c r="L1192" i="1"/>
  <c r="T1192" i="1" s="1"/>
  <c r="E1192" i="1"/>
  <c r="D1192" i="1"/>
  <c r="L1191" i="1"/>
  <c r="T1191" i="1" s="1"/>
  <c r="E1191" i="1"/>
  <c r="D1191" i="1"/>
  <c r="L1190" i="1"/>
  <c r="T1190" i="1" s="1"/>
  <c r="E1190" i="1"/>
  <c r="D1190" i="1"/>
  <c r="L1189" i="1"/>
  <c r="T1189" i="1" s="1"/>
  <c r="E1189" i="1"/>
  <c r="D1189" i="1"/>
  <c r="L1188" i="1"/>
  <c r="T1188" i="1" s="1"/>
  <c r="E1188" i="1"/>
  <c r="D1188" i="1"/>
  <c r="L1187" i="1"/>
  <c r="T1187" i="1" s="1"/>
  <c r="E1187" i="1"/>
  <c r="D1187" i="1"/>
  <c r="L1186" i="1"/>
  <c r="T1186" i="1" s="1"/>
  <c r="E1186" i="1"/>
  <c r="D1186" i="1"/>
  <c r="L1185" i="1"/>
  <c r="T1185" i="1" s="1"/>
  <c r="E1185" i="1"/>
  <c r="D1185" i="1"/>
  <c r="L1184" i="1"/>
  <c r="T1184" i="1" s="1"/>
  <c r="E1184" i="1"/>
  <c r="D1184" i="1"/>
  <c r="L1183" i="1"/>
  <c r="T1183" i="1" s="1"/>
  <c r="E1183" i="1"/>
  <c r="D1183" i="1"/>
  <c r="L1182" i="1"/>
  <c r="T1182" i="1" s="1"/>
  <c r="E1182" i="1"/>
  <c r="D1182" i="1"/>
  <c r="L1181" i="1"/>
  <c r="T1181" i="1" s="1"/>
  <c r="E1181" i="1"/>
  <c r="D1181" i="1"/>
  <c r="L1180" i="1"/>
  <c r="T1180" i="1" s="1"/>
  <c r="E1180" i="1"/>
  <c r="D1180" i="1"/>
  <c r="L1179" i="1"/>
  <c r="T1179" i="1" s="1"/>
  <c r="E1179" i="1"/>
  <c r="D1179" i="1"/>
  <c r="L1178" i="1"/>
  <c r="T1178" i="1" s="1"/>
  <c r="E1178" i="1"/>
  <c r="D1178" i="1"/>
  <c r="L1177" i="1"/>
  <c r="T1177" i="1" s="1"/>
  <c r="E1177" i="1"/>
  <c r="D1177" i="1"/>
  <c r="L1176" i="1"/>
  <c r="T1176" i="1" s="1"/>
  <c r="E1176" i="1"/>
  <c r="D1176" i="1"/>
  <c r="L1175" i="1"/>
  <c r="T1175" i="1" s="1"/>
  <c r="E1175" i="1"/>
  <c r="D1175" i="1"/>
  <c r="L1174" i="1"/>
  <c r="T1174" i="1" s="1"/>
  <c r="E1174" i="1"/>
  <c r="D1174" i="1"/>
  <c r="L1173" i="1"/>
  <c r="T1173" i="1" s="1"/>
  <c r="E1173" i="1"/>
  <c r="D1173" i="1"/>
  <c r="L1172" i="1"/>
  <c r="T1172" i="1" s="1"/>
  <c r="E1172" i="1"/>
  <c r="D1172" i="1"/>
  <c r="L1171" i="1"/>
  <c r="T1171" i="1" s="1"/>
  <c r="E1171" i="1"/>
  <c r="D1171" i="1"/>
  <c r="L1170" i="1"/>
  <c r="T1170" i="1" s="1"/>
  <c r="E1170" i="1"/>
  <c r="D1170" i="1"/>
  <c r="L1169" i="1"/>
  <c r="T1169" i="1" s="1"/>
  <c r="E1169" i="1"/>
  <c r="D1169" i="1"/>
  <c r="L1168" i="1"/>
  <c r="T1168" i="1" s="1"/>
  <c r="E1168" i="1"/>
  <c r="D1168" i="1"/>
  <c r="L1167" i="1"/>
  <c r="T1167" i="1" s="1"/>
  <c r="E1167" i="1"/>
  <c r="D1167" i="1"/>
  <c r="L1166" i="1"/>
  <c r="T1166" i="1" s="1"/>
  <c r="E1166" i="1"/>
  <c r="D1166" i="1"/>
  <c r="L1165" i="1"/>
  <c r="T1165" i="1" s="1"/>
  <c r="E1165" i="1"/>
  <c r="D1165" i="1"/>
  <c r="L1164" i="1"/>
  <c r="T1164" i="1" s="1"/>
  <c r="E1164" i="1"/>
  <c r="D1164" i="1"/>
  <c r="L1163" i="1"/>
  <c r="T1163" i="1" s="1"/>
  <c r="E1163" i="1"/>
  <c r="D1163" i="1"/>
  <c r="L1162" i="1"/>
  <c r="T1162" i="1" s="1"/>
  <c r="E1162" i="1"/>
  <c r="D1162" i="1"/>
  <c r="L1161" i="1"/>
  <c r="T1161" i="1" s="1"/>
  <c r="E1161" i="1"/>
  <c r="D1161" i="1"/>
  <c r="L1160" i="1"/>
  <c r="T1160" i="1" s="1"/>
  <c r="E1160" i="1"/>
  <c r="D1160" i="1"/>
  <c r="L1159" i="1"/>
  <c r="T1159" i="1" s="1"/>
  <c r="E1159" i="1"/>
  <c r="D1159" i="1"/>
  <c r="L1158" i="1"/>
  <c r="T1158" i="1" s="1"/>
  <c r="E1158" i="1"/>
  <c r="D1158" i="1"/>
  <c r="L1157" i="1"/>
  <c r="T1157" i="1" s="1"/>
  <c r="E1157" i="1"/>
  <c r="D1157" i="1"/>
  <c r="L1156" i="1"/>
  <c r="T1156" i="1" s="1"/>
  <c r="E1156" i="1"/>
  <c r="D1156" i="1"/>
  <c r="L1155" i="1"/>
  <c r="T1155" i="1" s="1"/>
  <c r="E1155" i="1"/>
  <c r="D1155" i="1"/>
  <c r="L1154" i="1"/>
  <c r="T1154" i="1" s="1"/>
  <c r="E1154" i="1"/>
  <c r="D1154" i="1"/>
  <c r="L1153" i="1"/>
  <c r="T1153" i="1" s="1"/>
  <c r="E1153" i="1"/>
  <c r="D1153" i="1"/>
  <c r="L1152" i="1"/>
  <c r="T1152" i="1" s="1"/>
  <c r="E1152" i="1"/>
  <c r="D1152" i="1"/>
  <c r="L1151" i="1"/>
  <c r="T1151" i="1" s="1"/>
  <c r="E1151" i="1"/>
  <c r="D1151" i="1"/>
  <c r="L1150" i="1"/>
  <c r="T1150" i="1" s="1"/>
  <c r="E1150" i="1"/>
  <c r="D1150" i="1"/>
  <c r="L1149" i="1"/>
  <c r="T1149" i="1" s="1"/>
  <c r="E1149" i="1"/>
  <c r="D1149" i="1"/>
  <c r="L1148" i="1"/>
  <c r="T1148" i="1" s="1"/>
  <c r="E1148" i="1"/>
  <c r="D1148" i="1"/>
  <c r="L1147" i="1"/>
  <c r="T1147" i="1" s="1"/>
  <c r="E1147" i="1"/>
  <c r="D1147" i="1"/>
  <c r="L1146" i="1"/>
  <c r="T1146" i="1" s="1"/>
  <c r="E1146" i="1"/>
  <c r="D1146" i="1"/>
  <c r="L1145" i="1"/>
  <c r="T1145" i="1" s="1"/>
  <c r="E1145" i="1"/>
  <c r="D1145" i="1"/>
  <c r="L1144" i="1"/>
  <c r="T1144" i="1" s="1"/>
  <c r="E1144" i="1"/>
  <c r="D1144" i="1"/>
  <c r="L1143" i="1"/>
  <c r="T1143" i="1" s="1"/>
  <c r="E1143" i="1"/>
  <c r="D1143" i="1"/>
  <c r="L1142" i="1"/>
  <c r="T1142" i="1" s="1"/>
  <c r="E1142" i="1"/>
  <c r="D1142" i="1"/>
  <c r="L1141" i="1"/>
  <c r="T1141" i="1" s="1"/>
  <c r="E1141" i="1"/>
  <c r="D1141" i="1"/>
  <c r="L1140" i="1"/>
  <c r="T1140" i="1" s="1"/>
  <c r="E1140" i="1"/>
  <c r="D1140" i="1"/>
  <c r="L1139" i="1"/>
  <c r="T1139" i="1" s="1"/>
  <c r="E1139" i="1"/>
  <c r="D1139" i="1"/>
  <c r="L1138" i="1"/>
  <c r="T1138" i="1" s="1"/>
  <c r="E1138" i="1"/>
  <c r="D1138" i="1"/>
  <c r="L1137" i="1"/>
  <c r="T1137" i="1" s="1"/>
  <c r="E1137" i="1"/>
  <c r="D1137" i="1"/>
  <c r="L1136" i="1"/>
  <c r="T1136" i="1" s="1"/>
  <c r="E1136" i="1"/>
  <c r="D1136" i="1"/>
  <c r="L1135" i="1"/>
  <c r="T1135" i="1" s="1"/>
  <c r="E1135" i="1"/>
  <c r="D1135" i="1"/>
  <c r="L1134" i="1"/>
  <c r="T1134" i="1" s="1"/>
  <c r="E1134" i="1"/>
  <c r="D1134" i="1"/>
  <c r="L1133" i="1"/>
  <c r="T1133" i="1" s="1"/>
  <c r="E1133" i="1"/>
  <c r="D1133" i="1"/>
  <c r="L1132" i="1"/>
  <c r="T1132" i="1" s="1"/>
  <c r="E1132" i="1"/>
  <c r="D1132" i="1"/>
  <c r="L1131" i="1"/>
  <c r="T1131" i="1" s="1"/>
  <c r="E1131" i="1"/>
  <c r="D1131" i="1"/>
  <c r="L1130" i="1"/>
  <c r="T1130" i="1" s="1"/>
  <c r="E1130" i="1"/>
  <c r="D1130" i="1"/>
  <c r="L1129" i="1"/>
  <c r="T1129" i="1" s="1"/>
  <c r="E1129" i="1"/>
  <c r="D1129" i="1"/>
  <c r="L1128" i="1"/>
  <c r="T1128" i="1" s="1"/>
  <c r="E1128" i="1"/>
  <c r="D1128" i="1"/>
  <c r="L1127" i="1"/>
  <c r="T1127" i="1" s="1"/>
  <c r="E1127" i="1"/>
  <c r="D1127" i="1"/>
  <c r="L1126" i="1"/>
  <c r="T1126" i="1" s="1"/>
  <c r="E1126" i="1"/>
  <c r="D1126" i="1"/>
  <c r="L1125" i="1"/>
  <c r="T1125" i="1" s="1"/>
  <c r="E1125" i="1"/>
  <c r="D1125" i="1"/>
  <c r="L1124" i="1"/>
  <c r="T1124" i="1" s="1"/>
  <c r="E1124" i="1"/>
  <c r="D1124" i="1"/>
  <c r="L1123" i="1"/>
  <c r="T1123" i="1" s="1"/>
  <c r="E1123" i="1"/>
  <c r="D1123" i="1"/>
  <c r="L1122" i="1"/>
  <c r="T1122" i="1" s="1"/>
  <c r="E1122" i="1"/>
  <c r="D1122" i="1"/>
  <c r="L1121" i="1"/>
  <c r="T1121" i="1" s="1"/>
  <c r="E1121" i="1"/>
  <c r="D1121" i="1"/>
  <c r="L1120" i="1"/>
  <c r="T1120" i="1" s="1"/>
  <c r="E1120" i="1"/>
  <c r="D1120" i="1"/>
  <c r="L1119" i="1"/>
  <c r="T1119" i="1" s="1"/>
  <c r="E1119" i="1"/>
  <c r="D1119" i="1"/>
  <c r="L1118" i="1"/>
  <c r="T1118" i="1" s="1"/>
  <c r="E1118" i="1"/>
  <c r="D1118" i="1"/>
  <c r="L1117" i="1"/>
  <c r="T1117" i="1" s="1"/>
  <c r="E1117" i="1"/>
  <c r="D1117" i="1"/>
  <c r="L1116" i="1"/>
  <c r="T1116" i="1" s="1"/>
  <c r="E1116" i="1"/>
  <c r="D1116" i="1"/>
  <c r="L1115" i="1"/>
  <c r="T1115" i="1" s="1"/>
  <c r="E1115" i="1"/>
  <c r="D1115" i="1"/>
  <c r="L1114" i="1"/>
  <c r="T1114" i="1" s="1"/>
  <c r="E1114" i="1"/>
  <c r="D1114" i="1"/>
  <c r="L1113" i="1"/>
  <c r="T1113" i="1" s="1"/>
  <c r="E1113" i="1"/>
  <c r="D1113" i="1"/>
  <c r="L1112" i="1"/>
  <c r="T1112" i="1" s="1"/>
  <c r="E1112" i="1"/>
  <c r="D1112" i="1"/>
  <c r="L1111" i="1"/>
  <c r="T1111" i="1" s="1"/>
  <c r="E1111" i="1"/>
  <c r="D1111" i="1"/>
  <c r="L1110" i="1"/>
  <c r="T1110" i="1" s="1"/>
  <c r="E1110" i="1"/>
  <c r="D1110" i="1"/>
  <c r="L1109" i="1"/>
  <c r="T1109" i="1" s="1"/>
  <c r="E1109" i="1"/>
  <c r="D1109" i="1"/>
  <c r="L1108" i="1"/>
  <c r="T1108" i="1" s="1"/>
  <c r="E1108" i="1"/>
  <c r="D1108" i="1"/>
  <c r="L1107" i="1"/>
  <c r="T1107" i="1" s="1"/>
  <c r="E1107" i="1"/>
  <c r="D1107" i="1"/>
  <c r="L1106" i="1"/>
  <c r="T1106" i="1" s="1"/>
  <c r="E1106" i="1"/>
  <c r="D1106" i="1"/>
  <c r="L1105" i="1"/>
  <c r="T1105" i="1" s="1"/>
  <c r="E1105" i="1"/>
  <c r="D1105" i="1"/>
  <c r="L1104" i="1"/>
  <c r="T1104" i="1" s="1"/>
  <c r="E1104" i="1"/>
  <c r="D1104" i="1"/>
  <c r="L1103" i="1"/>
  <c r="T1103" i="1" s="1"/>
  <c r="E1103" i="1"/>
  <c r="D1103" i="1"/>
  <c r="L1102" i="1"/>
  <c r="T1102" i="1" s="1"/>
  <c r="E1102" i="1"/>
  <c r="D1102" i="1"/>
  <c r="L1101" i="1"/>
  <c r="T1101" i="1" s="1"/>
  <c r="E1101" i="1"/>
  <c r="D1101" i="1"/>
  <c r="L1100" i="1"/>
  <c r="T1100" i="1" s="1"/>
  <c r="E1100" i="1"/>
  <c r="D1100" i="1"/>
  <c r="L1099" i="1"/>
  <c r="T1099" i="1" s="1"/>
  <c r="E1099" i="1"/>
  <c r="D1099" i="1"/>
  <c r="L1098" i="1"/>
  <c r="T1098" i="1" s="1"/>
  <c r="E1098" i="1"/>
  <c r="D1098" i="1"/>
  <c r="L1097" i="1"/>
  <c r="T1097" i="1" s="1"/>
  <c r="E1097" i="1"/>
  <c r="D1097" i="1"/>
  <c r="L1096" i="1"/>
  <c r="T1096" i="1" s="1"/>
  <c r="E1096" i="1"/>
  <c r="D1096" i="1"/>
  <c r="L1095" i="1"/>
  <c r="T1095" i="1" s="1"/>
  <c r="E1095" i="1"/>
  <c r="D1095" i="1"/>
  <c r="L1094" i="1"/>
  <c r="T1094" i="1" s="1"/>
  <c r="E1094" i="1"/>
  <c r="D1094" i="1"/>
  <c r="L1093" i="1"/>
  <c r="T1093" i="1" s="1"/>
  <c r="E1093" i="1"/>
  <c r="D1093" i="1"/>
  <c r="L1092" i="1"/>
  <c r="T1092" i="1" s="1"/>
  <c r="E1092" i="1"/>
  <c r="D1092" i="1"/>
  <c r="L1091" i="1"/>
  <c r="T1091" i="1" s="1"/>
  <c r="E1091" i="1"/>
  <c r="D1091" i="1"/>
  <c r="L1090" i="1"/>
  <c r="T1090" i="1" s="1"/>
  <c r="E1090" i="1"/>
  <c r="D1090" i="1"/>
  <c r="L1089" i="1"/>
  <c r="T1089" i="1" s="1"/>
  <c r="E1089" i="1"/>
  <c r="D1089" i="1"/>
  <c r="L1088" i="1"/>
  <c r="T1088" i="1" s="1"/>
  <c r="E1088" i="1"/>
  <c r="D1088" i="1"/>
  <c r="L1087" i="1"/>
  <c r="T1087" i="1" s="1"/>
  <c r="E1087" i="1"/>
  <c r="D1087" i="1"/>
  <c r="L1086" i="1"/>
  <c r="T1086" i="1" s="1"/>
  <c r="E1086" i="1"/>
  <c r="D1086" i="1"/>
  <c r="L1085" i="1"/>
  <c r="T1085" i="1" s="1"/>
  <c r="E1085" i="1"/>
  <c r="D1085" i="1"/>
  <c r="L1084" i="1"/>
  <c r="T1084" i="1" s="1"/>
  <c r="E1084" i="1"/>
  <c r="D1084" i="1"/>
  <c r="L1083" i="1"/>
  <c r="T1083" i="1" s="1"/>
  <c r="E1083" i="1"/>
  <c r="D1083" i="1"/>
  <c r="L1082" i="1"/>
  <c r="T1082" i="1" s="1"/>
  <c r="E1082" i="1"/>
  <c r="D1082" i="1"/>
  <c r="L1081" i="1"/>
  <c r="T1081" i="1" s="1"/>
  <c r="E1081" i="1"/>
  <c r="D1081" i="1"/>
  <c r="L1080" i="1"/>
  <c r="T1080" i="1" s="1"/>
  <c r="E1080" i="1"/>
  <c r="D1080" i="1"/>
  <c r="L1079" i="1"/>
  <c r="T1079" i="1" s="1"/>
  <c r="E1079" i="1"/>
  <c r="D1079" i="1"/>
  <c r="L1078" i="1"/>
  <c r="T1078" i="1" s="1"/>
  <c r="E1078" i="1"/>
  <c r="D1078" i="1"/>
  <c r="L1077" i="1"/>
  <c r="T1077" i="1" s="1"/>
  <c r="E1077" i="1"/>
  <c r="D1077" i="1"/>
  <c r="L1076" i="1"/>
  <c r="T1076" i="1" s="1"/>
  <c r="E1076" i="1"/>
  <c r="D1076" i="1"/>
  <c r="L1075" i="1"/>
  <c r="T1075" i="1" s="1"/>
  <c r="E1075" i="1"/>
  <c r="D1075" i="1"/>
  <c r="L1074" i="1"/>
  <c r="T1074" i="1" s="1"/>
  <c r="E1074" i="1"/>
  <c r="D1074" i="1"/>
  <c r="L1073" i="1"/>
  <c r="T1073" i="1" s="1"/>
  <c r="E1073" i="1"/>
  <c r="D1073" i="1"/>
  <c r="L1072" i="1"/>
  <c r="T1072" i="1" s="1"/>
  <c r="E1072" i="1"/>
  <c r="D1072" i="1"/>
  <c r="L1071" i="1"/>
  <c r="T1071" i="1" s="1"/>
  <c r="E1071" i="1"/>
  <c r="D1071" i="1"/>
  <c r="L1070" i="1"/>
  <c r="T1070" i="1" s="1"/>
  <c r="E1070" i="1"/>
  <c r="D1070" i="1"/>
  <c r="L1069" i="1"/>
  <c r="T1069" i="1" s="1"/>
  <c r="E1069" i="1"/>
  <c r="D1069" i="1"/>
  <c r="L1068" i="1"/>
  <c r="T1068" i="1" s="1"/>
  <c r="E1068" i="1"/>
  <c r="D1068" i="1"/>
  <c r="L1067" i="1"/>
  <c r="T1067" i="1" s="1"/>
  <c r="E1067" i="1"/>
  <c r="D1067" i="1"/>
  <c r="L1066" i="1"/>
  <c r="T1066" i="1" s="1"/>
  <c r="E1066" i="1"/>
  <c r="D1066" i="1"/>
  <c r="L1065" i="1"/>
  <c r="T1065" i="1" s="1"/>
  <c r="E1065" i="1"/>
  <c r="D1065" i="1"/>
  <c r="L1064" i="1"/>
  <c r="T1064" i="1" s="1"/>
  <c r="E1064" i="1"/>
  <c r="D1064" i="1"/>
  <c r="L1063" i="1"/>
  <c r="T1063" i="1" s="1"/>
  <c r="E1063" i="1"/>
  <c r="D1063" i="1"/>
  <c r="L1062" i="1"/>
  <c r="T1062" i="1" s="1"/>
  <c r="E1062" i="1"/>
  <c r="D1062" i="1"/>
  <c r="L1061" i="1"/>
  <c r="T1061" i="1" s="1"/>
  <c r="E1061" i="1"/>
  <c r="D1061" i="1"/>
  <c r="L1060" i="1"/>
  <c r="T1060" i="1" s="1"/>
  <c r="E1060" i="1"/>
  <c r="D1060" i="1"/>
  <c r="L1059" i="1"/>
  <c r="T1059" i="1" s="1"/>
  <c r="E1059" i="1"/>
  <c r="D1059" i="1"/>
  <c r="L1058" i="1"/>
  <c r="T1058" i="1" s="1"/>
  <c r="E1058" i="1"/>
  <c r="D1058" i="1"/>
  <c r="L1057" i="1"/>
  <c r="T1057" i="1" s="1"/>
  <c r="E1057" i="1"/>
  <c r="D1057" i="1"/>
  <c r="L1056" i="1"/>
  <c r="T1056" i="1" s="1"/>
  <c r="E1056" i="1"/>
  <c r="D1056" i="1"/>
  <c r="L1055" i="1"/>
  <c r="T1055" i="1" s="1"/>
  <c r="E1055" i="1"/>
  <c r="D1055" i="1"/>
  <c r="L1054" i="1"/>
  <c r="T1054" i="1" s="1"/>
  <c r="E1054" i="1"/>
  <c r="D1054" i="1"/>
  <c r="L1053" i="1"/>
  <c r="T1053" i="1" s="1"/>
  <c r="E1053" i="1"/>
  <c r="D1053" i="1"/>
  <c r="L1052" i="1"/>
  <c r="T1052" i="1" s="1"/>
  <c r="E1052" i="1"/>
  <c r="D1052" i="1"/>
  <c r="L1051" i="1"/>
  <c r="T1051" i="1" s="1"/>
  <c r="E1051" i="1"/>
  <c r="D1051" i="1"/>
  <c r="L1050" i="1"/>
  <c r="T1050" i="1" s="1"/>
  <c r="E1050" i="1"/>
  <c r="D1050" i="1"/>
  <c r="L1049" i="1"/>
  <c r="T1049" i="1" s="1"/>
  <c r="E1049" i="1"/>
  <c r="D1049" i="1"/>
  <c r="L1048" i="1"/>
  <c r="T1048" i="1" s="1"/>
  <c r="E1048" i="1"/>
  <c r="D1048" i="1"/>
  <c r="L1047" i="1"/>
  <c r="T1047" i="1" s="1"/>
  <c r="E1047" i="1"/>
  <c r="D1047" i="1"/>
  <c r="L1046" i="1"/>
  <c r="T1046" i="1" s="1"/>
  <c r="E1046" i="1"/>
  <c r="D1046" i="1"/>
  <c r="L1045" i="1"/>
  <c r="T1045" i="1" s="1"/>
  <c r="E1045" i="1"/>
  <c r="D1045" i="1"/>
  <c r="L1044" i="1"/>
  <c r="T1044" i="1" s="1"/>
  <c r="E1044" i="1"/>
  <c r="D1044" i="1"/>
  <c r="L1043" i="1"/>
  <c r="T1043" i="1" s="1"/>
  <c r="E1043" i="1"/>
  <c r="D1043" i="1"/>
  <c r="L1042" i="1"/>
  <c r="T1042" i="1" s="1"/>
  <c r="E1042" i="1"/>
  <c r="D1042" i="1"/>
  <c r="L1041" i="1"/>
  <c r="T1041" i="1" s="1"/>
  <c r="E1041" i="1"/>
  <c r="D1041" i="1"/>
  <c r="L1040" i="1"/>
  <c r="T1040" i="1" s="1"/>
  <c r="E1040" i="1"/>
  <c r="D1040" i="1"/>
  <c r="L1039" i="1"/>
  <c r="T1039" i="1" s="1"/>
  <c r="E1039" i="1"/>
  <c r="D1039" i="1"/>
  <c r="L1038" i="1"/>
  <c r="T1038" i="1" s="1"/>
  <c r="E1038" i="1"/>
  <c r="D1038" i="1"/>
  <c r="L1037" i="1"/>
  <c r="T1037" i="1" s="1"/>
  <c r="E1037" i="1"/>
  <c r="D1037" i="1"/>
  <c r="L1036" i="1"/>
  <c r="T1036" i="1" s="1"/>
  <c r="E1036" i="1"/>
  <c r="D1036" i="1"/>
  <c r="L1035" i="1"/>
  <c r="T1035" i="1" s="1"/>
  <c r="E1035" i="1"/>
  <c r="D1035" i="1"/>
  <c r="L1034" i="1"/>
  <c r="T1034" i="1" s="1"/>
  <c r="E1034" i="1"/>
  <c r="D1034" i="1"/>
  <c r="L1033" i="1"/>
  <c r="T1033" i="1" s="1"/>
  <c r="E1033" i="1"/>
  <c r="D1033" i="1"/>
  <c r="L1032" i="1"/>
  <c r="T1032" i="1" s="1"/>
  <c r="E1032" i="1"/>
  <c r="D1032" i="1"/>
  <c r="L1031" i="1"/>
  <c r="T1031" i="1" s="1"/>
  <c r="E1031" i="1"/>
  <c r="D1031" i="1"/>
  <c r="L1030" i="1"/>
  <c r="T1030" i="1" s="1"/>
  <c r="E1030" i="1"/>
  <c r="D1030" i="1"/>
  <c r="L1029" i="1"/>
  <c r="T1029" i="1" s="1"/>
  <c r="E1029" i="1"/>
  <c r="D1029" i="1"/>
  <c r="L1028" i="1"/>
  <c r="T1028" i="1" s="1"/>
  <c r="E1028" i="1"/>
  <c r="D1028" i="1"/>
  <c r="L1027" i="1"/>
  <c r="T1027" i="1" s="1"/>
  <c r="E1027" i="1"/>
  <c r="D1027" i="1"/>
  <c r="L1026" i="1"/>
  <c r="T1026" i="1" s="1"/>
  <c r="E1026" i="1"/>
  <c r="D1026" i="1"/>
  <c r="L1025" i="1"/>
  <c r="T1025" i="1" s="1"/>
  <c r="E1025" i="1"/>
  <c r="D1025" i="1"/>
  <c r="L1024" i="1"/>
  <c r="T1024" i="1" s="1"/>
  <c r="E1024" i="1"/>
  <c r="D1024" i="1"/>
  <c r="L1023" i="1"/>
  <c r="T1023" i="1" s="1"/>
  <c r="E1023" i="1"/>
  <c r="D1023" i="1"/>
  <c r="L1022" i="1"/>
  <c r="T1022" i="1" s="1"/>
  <c r="E1022" i="1"/>
  <c r="D1022" i="1"/>
  <c r="L1021" i="1"/>
  <c r="T1021" i="1" s="1"/>
  <c r="E1021" i="1"/>
  <c r="D1021" i="1"/>
  <c r="L1020" i="1"/>
  <c r="T1020" i="1" s="1"/>
  <c r="E1020" i="1"/>
  <c r="D1020" i="1"/>
  <c r="L1019" i="1"/>
  <c r="T1019" i="1" s="1"/>
  <c r="E1019" i="1"/>
  <c r="D1019" i="1"/>
  <c r="L1018" i="1"/>
  <c r="T1018" i="1" s="1"/>
  <c r="E1018" i="1"/>
  <c r="D1018" i="1"/>
  <c r="L1017" i="1"/>
  <c r="T1017" i="1" s="1"/>
  <c r="E1017" i="1"/>
  <c r="D1017" i="1"/>
  <c r="L1016" i="1"/>
  <c r="T1016" i="1" s="1"/>
  <c r="E1016" i="1"/>
  <c r="D1016" i="1"/>
  <c r="L1015" i="1"/>
  <c r="T1015" i="1" s="1"/>
  <c r="E1015" i="1"/>
  <c r="D1015" i="1"/>
  <c r="L1014" i="1"/>
  <c r="T1014" i="1" s="1"/>
  <c r="E1014" i="1"/>
  <c r="D1014" i="1"/>
  <c r="L1013" i="1"/>
  <c r="T1013" i="1" s="1"/>
  <c r="E1013" i="1"/>
  <c r="D1013" i="1"/>
  <c r="L1012" i="1"/>
  <c r="T1012" i="1" s="1"/>
  <c r="E1012" i="1"/>
  <c r="D1012" i="1"/>
  <c r="L1011" i="1"/>
  <c r="T1011" i="1" s="1"/>
  <c r="E1011" i="1"/>
  <c r="D1011" i="1"/>
  <c r="L1010" i="1"/>
  <c r="T1010" i="1" s="1"/>
  <c r="E1010" i="1"/>
  <c r="D1010" i="1"/>
  <c r="L1009" i="1"/>
  <c r="T1009" i="1" s="1"/>
  <c r="E1009" i="1"/>
  <c r="D1009" i="1"/>
  <c r="L1008" i="1"/>
  <c r="T1008" i="1" s="1"/>
  <c r="E1008" i="1"/>
  <c r="D1008" i="1"/>
  <c r="L1007" i="1"/>
  <c r="T1007" i="1" s="1"/>
  <c r="E1007" i="1"/>
  <c r="D1007" i="1"/>
  <c r="L1006" i="1"/>
  <c r="T1006" i="1" s="1"/>
  <c r="E1006" i="1"/>
  <c r="D1006" i="1"/>
  <c r="L1005" i="1"/>
  <c r="T1005" i="1" s="1"/>
  <c r="E1005" i="1"/>
  <c r="D1005" i="1"/>
  <c r="L1004" i="1"/>
  <c r="T1004" i="1" s="1"/>
  <c r="E1004" i="1"/>
  <c r="D1004" i="1"/>
  <c r="L1003" i="1"/>
  <c r="T1003" i="1" s="1"/>
  <c r="E1003" i="1"/>
  <c r="D1003" i="1"/>
  <c r="L1002" i="1"/>
  <c r="T1002" i="1" s="1"/>
  <c r="E1002" i="1"/>
  <c r="D1002" i="1"/>
  <c r="L1001" i="1"/>
  <c r="T1001" i="1" s="1"/>
  <c r="E1001" i="1"/>
  <c r="D1001" i="1"/>
  <c r="L1000" i="1"/>
  <c r="T1000" i="1" s="1"/>
  <c r="E1000" i="1"/>
  <c r="D1000" i="1"/>
  <c r="L999" i="1"/>
  <c r="T999" i="1" s="1"/>
  <c r="E999" i="1"/>
  <c r="D999" i="1"/>
  <c r="L998" i="1"/>
  <c r="T998" i="1" s="1"/>
  <c r="E998" i="1"/>
  <c r="D998" i="1"/>
  <c r="L997" i="1"/>
  <c r="T997" i="1" s="1"/>
  <c r="E997" i="1"/>
  <c r="D997" i="1"/>
  <c r="L996" i="1"/>
  <c r="T996" i="1" s="1"/>
  <c r="E996" i="1"/>
  <c r="D996" i="1"/>
  <c r="L995" i="1"/>
  <c r="T995" i="1" s="1"/>
  <c r="E995" i="1"/>
  <c r="D995" i="1"/>
  <c r="L994" i="1"/>
  <c r="T994" i="1" s="1"/>
  <c r="E994" i="1"/>
  <c r="D994" i="1"/>
  <c r="L993" i="1"/>
  <c r="T993" i="1" s="1"/>
  <c r="E993" i="1"/>
  <c r="D993" i="1"/>
  <c r="L992" i="1"/>
  <c r="T992" i="1" s="1"/>
  <c r="E992" i="1"/>
  <c r="D992" i="1"/>
  <c r="L991" i="1"/>
  <c r="T991" i="1" s="1"/>
  <c r="E991" i="1"/>
  <c r="D991" i="1"/>
  <c r="L990" i="1"/>
  <c r="T990" i="1" s="1"/>
  <c r="E990" i="1"/>
  <c r="D990" i="1"/>
  <c r="L989" i="1"/>
  <c r="T989" i="1" s="1"/>
  <c r="E989" i="1"/>
  <c r="D989" i="1"/>
  <c r="L988" i="1"/>
  <c r="T988" i="1" s="1"/>
  <c r="E988" i="1"/>
  <c r="D988" i="1"/>
  <c r="L987" i="1"/>
  <c r="T987" i="1" s="1"/>
  <c r="E987" i="1"/>
  <c r="D987" i="1"/>
  <c r="L986" i="1"/>
  <c r="T986" i="1" s="1"/>
  <c r="E986" i="1"/>
  <c r="D986" i="1"/>
  <c r="L985" i="1"/>
  <c r="T985" i="1" s="1"/>
  <c r="E985" i="1"/>
  <c r="D985" i="1"/>
  <c r="L984" i="1"/>
  <c r="T984" i="1" s="1"/>
  <c r="E984" i="1"/>
  <c r="D984" i="1"/>
  <c r="L983" i="1"/>
  <c r="T983" i="1" s="1"/>
  <c r="E983" i="1"/>
  <c r="D983" i="1"/>
  <c r="L982" i="1"/>
  <c r="T982" i="1" s="1"/>
  <c r="E982" i="1"/>
  <c r="D982" i="1"/>
  <c r="L981" i="1"/>
  <c r="T981" i="1" s="1"/>
  <c r="E981" i="1"/>
  <c r="D981" i="1"/>
  <c r="L980" i="1"/>
  <c r="T980" i="1" s="1"/>
  <c r="E980" i="1"/>
  <c r="D980" i="1"/>
  <c r="L979" i="1"/>
  <c r="T979" i="1" s="1"/>
  <c r="E979" i="1"/>
  <c r="D979" i="1"/>
  <c r="L978" i="1"/>
  <c r="T978" i="1" s="1"/>
  <c r="E978" i="1"/>
  <c r="D978" i="1"/>
  <c r="L977" i="1"/>
  <c r="T977" i="1" s="1"/>
  <c r="E977" i="1"/>
  <c r="D977" i="1"/>
  <c r="L976" i="1"/>
  <c r="T976" i="1" s="1"/>
  <c r="E976" i="1"/>
  <c r="D976" i="1"/>
  <c r="L975" i="1"/>
  <c r="T975" i="1" s="1"/>
  <c r="E975" i="1"/>
  <c r="D975" i="1"/>
  <c r="L974" i="1"/>
  <c r="T974" i="1" s="1"/>
  <c r="E974" i="1"/>
  <c r="D974" i="1"/>
  <c r="L973" i="1"/>
  <c r="T973" i="1" s="1"/>
  <c r="E973" i="1"/>
  <c r="D973" i="1"/>
  <c r="L972" i="1"/>
  <c r="T972" i="1" s="1"/>
  <c r="E972" i="1"/>
  <c r="D972" i="1"/>
  <c r="L971" i="1"/>
  <c r="T971" i="1" s="1"/>
  <c r="E971" i="1"/>
  <c r="D971" i="1"/>
  <c r="L970" i="1"/>
  <c r="T970" i="1" s="1"/>
  <c r="E970" i="1"/>
  <c r="D970" i="1"/>
  <c r="L969" i="1"/>
  <c r="T969" i="1" s="1"/>
  <c r="E969" i="1"/>
  <c r="D969" i="1"/>
  <c r="L968" i="1"/>
  <c r="T968" i="1" s="1"/>
  <c r="E968" i="1"/>
  <c r="D968" i="1"/>
  <c r="L967" i="1"/>
  <c r="T967" i="1" s="1"/>
  <c r="E967" i="1"/>
  <c r="D967" i="1"/>
  <c r="L966" i="1"/>
  <c r="T966" i="1" s="1"/>
  <c r="E966" i="1"/>
  <c r="D966" i="1"/>
  <c r="L965" i="1"/>
  <c r="T965" i="1" s="1"/>
  <c r="E965" i="1"/>
  <c r="D965" i="1"/>
  <c r="L964" i="1"/>
  <c r="T964" i="1" s="1"/>
  <c r="E964" i="1"/>
  <c r="D964" i="1"/>
  <c r="L963" i="1"/>
  <c r="T963" i="1" s="1"/>
  <c r="E963" i="1"/>
  <c r="D963" i="1"/>
  <c r="L962" i="1"/>
  <c r="T962" i="1" s="1"/>
  <c r="E962" i="1"/>
  <c r="D962" i="1"/>
  <c r="L961" i="1"/>
  <c r="T961" i="1" s="1"/>
  <c r="E961" i="1"/>
  <c r="D961" i="1"/>
  <c r="L960" i="1"/>
  <c r="T960" i="1" s="1"/>
  <c r="E960" i="1"/>
  <c r="D960" i="1"/>
  <c r="L959" i="1"/>
  <c r="T959" i="1" s="1"/>
  <c r="E959" i="1"/>
  <c r="D959" i="1"/>
  <c r="L958" i="1"/>
  <c r="T958" i="1" s="1"/>
  <c r="E958" i="1"/>
  <c r="D958" i="1"/>
  <c r="L957" i="1"/>
  <c r="T957" i="1" s="1"/>
  <c r="E957" i="1"/>
  <c r="D957" i="1"/>
  <c r="L956" i="1"/>
  <c r="T956" i="1" s="1"/>
  <c r="E956" i="1"/>
  <c r="D956" i="1"/>
  <c r="L955" i="1"/>
  <c r="T955" i="1" s="1"/>
  <c r="E955" i="1"/>
  <c r="D955" i="1"/>
  <c r="L954" i="1"/>
  <c r="T954" i="1" s="1"/>
  <c r="E954" i="1"/>
  <c r="D954" i="1"/>
  <c r="L953" i="1"/>
  <c r="T953" i="1" s="1"/>
  <c r="E953" i="1"/>
  <c r="D953" i="1"/>
  <c r="L952" i="1"/>
  <c r="T952" i="1" s="1"/>
  <c r="E952" i="1"/>
  <c r="D952" i="1"/>
  <c r="L951" i="1"/>
  <c r="T951" i="1" s="1"/>
  <c r="E951" i="1"/>
  <c r="D951" i="1"/>
  <c r="L950" i="1"/>
  <c r="T950" i="1" s="1"/>
  <c r="E950" i="1"/>
  <c r="D950" i="1"/>
  <c r="L949" i="1"/>
  <c r="T949" i="1" s="1"/>
  <c r="E949" i="1"/>
  <c r="D949" i="1"/>
  <c r="L948" i="1"/>
  <c r="T948" i="1" s="1"/>
  <c r="E948" i="1"/>
  <c r="D948" i="1"/>
  <c r="L947" i="1"/>
  <c r="T947" i="1" s="1"/>
  <c r="E947" i="1"/>
  <c r="D947" i="1"/>
  <c r="L946" i="1"/>
  <c r="T946" i="1" s="1"/>
  <c r="E946" i="1"/>
  <c r="D946" i="1"/>
  <c r="L945" i="1"/>
  <c r="T945" i="1" s="1"/>
  <c r="E945" i="1"/>
  <c r="D945" i="1"/>
  <c r="L944" i="1"/>
  <c r="T944" i="1" s="1"/>
  <c r="E944" i="1"/>
  <c r="D944" i="1"/>
  <c r="L943" i="1"/>
  <c r="T943" i="1" s="1"/>
  <c r="E943" i="1"/>
  <c r="D943" i="1"/>
  <c r="L942" i="1"/>
  <c r="T942" i="1" s="1"/>
  <c r="E942" i="1"/>
  <c r="D942" i="1"/>
  <c r="L941" i="1"/>
  <c r="T941" i="1" s="1"/>
  <c r="E941" i="1"/>
  <c r="D941" i="1"/>
  <c r="L940" i="1"/>
  <c r="T940" i="1" s="1"/>
  <c r="E940" i="1"/>
  <c r="D940" i="1"/>
  <c r="L939" i="1"/>
  <c r="T939" i="1" s="1"/>
  <c r="E939" i="1"/>
  <c r="D939" i="1"/>
  <c r="L938" i="1"/>
  <c r="T938" i="1" s="1"/>
  <c r="E938" i="1"/>
  <c r="D938" i="1"/>
  <c r="L937" i="1"/>
  <c r="T937" i="1" s="1"/>
  <c r="E937" i="1"/>
  <c r="D937" i="1"/>
  <c r="L936" i="1"/>
  <c r="T936" i="1" s="1"/>
  <c r="E936" i="1"/>
  <c r="D936" i="1"/>
  <c r="L935" i="1"/>
  <c r="T935" i="1" s="1"/>
  <c r="E935" i="1"/>
  <c r="D935" i="1"/>
  <c r="L934" i="1"/>
  <c r="T934" i="1" s="1"/>
  <c r="E934" i="1"/>
  <c r="D934" i="1"/>
  <c r="L933" i="1"/>
  <c r="T933" i="1" s="1"/>
  <c r="E933" i="1"/>
  <c r="D933" i="1"/>
  <c r="L932" i="1"/>
  <c r="T932" i="1" s="1"/>
  <c r="E932" i="1"/>
  <c r="D932" i="1"/>
  <c r="L931" i="1"/>
  <c r="T931" i="1" s="1"/>
  <c r="E931" i="1"/>
  <c r="D931" i="1"/>
  <c r="L930" i="1"/>
  <c r="T930" i="1" s="1"/>
  <c r="E930" i="1"/>
  <c r="D930" i="1"/>
  <c r="L929" i="1"/>
  <c r="T929" i="1" s="1"/>
  <c r="E929" i="1"/>
  <c r="D929" i="1"/>
  <c r="L928" i="1"/>
  <c r="T928" i="1" s="1"/>
  <c r="E928" i="1"/>
  <c r="D928" i="1"/>
  <c r="L927" i="1"/>
  <c r="T927" i="1" s="1"/>
  <c r="E927" i="1"/>
  <c r="D927" i="1"/>
  <c r="L926" i="1"/>
  <c r="T926" i="1" s="1"/>
  <c r="E926" i="1"/>
  <c r="D926" i="1"/>
  <c r="L925" i="1"/>
  <c r="T925" i="1" s="1"/>
  <c r="E925" i="1"/>
  <c r="D925" i="1"/>
  <c r="L924" i="1"/>
  <c r="T924" i="1" s="1"/>
  <c r="E924" i="1"/>
  <c r="D924" i="1"/>
  <c r="L923" i="1"/>
  <c r="T923" i="1" s="1"/>
  <c r="E923" i="1"/>
  <c r="D923" i="1"/>
  <c r="L922" i="1"/>
  <c r="T922" i="1" s="1"/>
  <c r="E922" i="1"/>
  <c r="D922" i="1"/>
  <c r="L921" i="1"/>
  <c r="T921" i="1" s="1"/>
  <c r="E921" i="1"/>
  <c r="D921" i="1"/>
  <c r="L920" i="1"/>
  <c r="T920" i="1" s="1"/>
  <c r="E920" i="1"/>
  <c r="D920" i="1"/>
  <c r="L919" i="1"/>
  <c r="T919" i="1" s="1"/>
  <c r="E919" i="1"/>
  <c r="D919" i="1"/>
  <c r="L918" i="1"/>
  <c r="T918" i="1" s="1"/>
  <c r="E918" i="1"/>
  <c r="D918" i="1"/>
  <c r="L917" i="1"/>
  <c r="T917" i="1" s="1"/>
  <c r="E917" i="1"/>
  <c r="D917" i="1"/>
  <c r="L916" i="1"/>
  <c r="T916" i="1" s="1"/>
  <c r="E916" i="1"/>
  <c r="D916" i="1"/>
  <c r="L915" i="1"/>
  <c r="T915" i="1" s="1"/>
  <c r="E915" i="1"/>
  <c r="D915" i="1"/>
  <c r="L914" i="1"/>
  <c r="T914" i="1" s="1"/>
  <c r="E914" i="1"/>
  <c r="D914" i="1"/>
  <c r="L913" i="1"/>
  <c r="T913" i="1" s="1"/>
  <c r="E913" i="1"/>
  <c r="D913" i="1"/>
  <c r="L912" i="1"/>
  <c r="T912" i="1" s="1"/>
  <c r="E912" i="1"/>
  <c r="D912" i="1"/>
  <c r="L911" i="1"/>
  <c r="T911" i="1" s="1"/>
  <c r="E911" i="1"/>
  <c r="D911" i="1"/>
  <c r="L910" i="1"/>
  <c r="T910" i="1" s="1"/>
  <c r="E910" i="1"/>
  <c r="D910" i="1"/>
  <c r="L909" i="1"/>
  <c r="T909" i="1" s="1"/>
  <c r="E909" i="1"/>
  <c r="D909" i="1"/>
  <c r="L908" i="1"/>
  <c r="T908" i="1" s="1"/>
  <c r="E908" i="1"/>
  <c r="D908" i="1"/>
  <c r="L907" i="1"/>
  <c r="T907" i="1" s="1"/>
  <c r="E907" i="1"/>
  <c r="D907" i="1"/>
  <c r="L906" i="1"/>
  <c r="T906" i="1" s="1"/>
  <c r="E906" i="1"/>
  <c r="D906" i="1"/>
  <c r="L905" i="1"/>
  <c r="T905" i="1" s="1"/>
  <c r="E905" i="1"/>
  <c r="D905" i="1"/>
  <c r="L904" i="1"/>
  <c r="T904" i="1" s="1"/>
  <c r="E904" i="1"/>
  <c r="D904" i="1"/>
  <c r="L903" i="1"/>
  <c r="T903" i="1" s="1"/>
  <c r="E903" i="1"/>
  <c r="D903" i="1"/>
  <c r="L902" i="1"/>
  <c r="T902" i="1" s="1"/>
  <c r="E902" i="1"/>
  <c r="D902" i="1"/>
  <c r="L901" i="1"/>
  <c r="T901" i="1" s="1"/>
  <c r="E901" i="1"/>
  <c r="D901" i="1"/>
  <c r="L900" i="1"/>
  <c r="T900" i="1" s="1"/>
  <c r="E900" i="1"/>
  <c r="D900" i="1"/>
  <c r="L899" i="1"/>
  <c r="T899" i="1" s="1"/>
  <c r="E899" i="1"/>
  <c r="D899" i="1"/>
  <c r="L898" i="1"/>
  <c r="T898" i="1" s="1"/>
  <c r="E898" i="1"/>
  <c r="D898" i="1"/>
  <c r="L897" i="1"/>
  <c r="T897" i="1" s="1"/>
  <c r="E897" i="1"/>
  <c r="D897" i="1"/>
  <c r="L896" i="1"/>
  <c r="T896" i="1" s="1"/>
  <c r="E896" i="1"/>
  <c r="D896" i="1"/>
  <c r="L895" i="1"/>
  <c r="T895" i="1" s="1"/>
  <c r="E895" i="1"/>
  <c r="D895" i="1"/>
  <c r="L894" i="1"/>
  <c r="T894" i="1" s="1"/>
  <c r="E894" i="1"/>
  <c r="D894" i="1"/>
  <c r="L893" i="1"/>
  <c r="T893" i="1" s="1"/>
  <c r="E893" i="1"/>
  <c r="D893" i="1"/>
  <c r="L892" i="1"/>
  <c r="T892" i="1" s="1"/>
  <c r="E892" i="1"/>
  <c r="D892" i="1"/>
  <c r="L891" i="1"/>
  <c r="T891" i="1" s="1"/>
  <c r="E891" i="1"/>
  <c r="D891" i="1"/>
  <c r="L890" i="1"/>
  <c r="T890" i="1" s="1"/>
  <c r="E890" i="1"/>
  <c r="D890" i="1"/>
  <c r="L889" i="1"/>
  <c r="T889" i="1" s="1"/>
  <c r="E889" i="1"/>
  <c r="D889" i="1"/>
  <c r="L888" i="1"/>
  <c r="T888" i="1" s="1"/>
  <c r="E888" i="1"/>
  <c r="D888" i="1"/>
  <c r="L887" i="1"/>
  <c r="T887" i="1" s="1"/>
  <c r="E887" i="1"/>
  <c r="D887" i="1"/>
  <c r="L886" i="1"/>
  <c r="T886" i="1" s="1"/>
  <c r="E886" i="1"/>
  <c r="D886" i="1"/>
  <c r="L885" i="1"/>
  <c r="T885" i="1" s="1"/>
  <c r="E885" i="1"/>
  <c r="D885" i="1"/>
  <c r="L884" i="1"/>
  <c r="T884" i="1" s="1"/>
  <c r="E884" i="1"/>
  <c r="D884" i="1"/>
  <c r="L883" i="1"/>
  <c r="T883" i="1" s="1"/>
  <c r="E883" i="1"/>
  <c r="D883" i="1"/>
  <c r="L882" i="1"/>
  <c r="T882" i="1" s="1"/>
  <c r="E882" i="1"/>
  <c r="D882" i="1"/>
  <c r="L881" i="1"/>
  <c r="T881" i="1" s="1"/>
  <c r="E881" i="1"/>
  <c r="D881" i="1"/>
  <c r="L880" i="1"/>
  <c r="T880" i="1" s="1"/>
  <c r="E880" i="1"/>
  <c r="D880" i="1"/>
  <c r="L879" i="1"/>
  <c r="T879" i="1" s="1"/>
  <c r="E879" i="1"/>
  <c r="D879" i="1"/>
  <c r="L878" i="1"/>
  <c r="T878" i="1" s="1"/>
  <c r="E878" i="1"/>
  <c r="D878" i="1"/>
  <c r="L877" i="1"/>
  <c r="T877" i="1" s="1"/>
  <c r="E877" i="1"/>
  <c r="D877" i="1"/>
  <c r="L876" i="1"/>
  <c r="T876" i="1" s="1"/>
  <c r="E876" i="1"/>
  <c r="D876" i="1"/>
  <c r="L875" i="1"/>
  <c r="T875" i="1" s="1"/>
  <c r="E875" i="1"/>
  <c r="D875" i="1"/>
  <c r="L874" i="1"/>
  <c r="T874" i="1" s="1"/>
  <c r="E874" i="1"/>
  <c r="D874" i="1"/>
  <c r="L873" i="1"/>
  <c r="T873" i="1" s="1"/>
  <c r="E873" i="1"/>
  <c r="D873" i="1"/>
  <c r="L872" i="1"/>
  <c r="T872" i="1" s="1"/>
  <c r="E872" i="1"/>
  <c r="D872" i="1"/>
  <c r="L871" i="1"/>
  <c r="T871" i="1" s="1"/>
  <c r="E871" i="1"/>
  <c r="D871" i="1"/>
  <c r="L870" i="1"/>
  <c r="T870" i="1" s="1"/>
  <c r="E870" i="1"/>
  <c r="D870" i="1"/>
  <c r="L869" i="1"/>
  <c r="T869" i="1" s="1"/>
  <c r="E869" i="1"/>
  <c r="D869" i="1"/>
  <c r="L868" i="1"/>
  <c r="T868" i="1" s="1"/>
  <c r="E868" i="1"/>
  <c r="D868" i="1"/>
  <c r="L867" i="1"/>
  <c r="T867" i="1" s="1"/>
  <c r="E867" i="1"/>
  <c r="D867" i="1"/>
  <c r="L866" i="1"/>
  <c r="T866" i="1" s="1"/>
  <c r="E866" i="1"/>
  <c r="D866" i="1"/>
  <c r="L865" i="1"/>
  <c r="T865" i="1" s="1"/>
  <c r="E865" i="1"/>
  <c r="D865" i="1"/>
  <c r="L864" i="1"/>
  <c r="T864" i="1" s="1"/>
  <c r="E864" i="1"/>
  <c r="D864" i="1"/>
  <c r="L863" i="1"/>
  <c r="T863" i="1" s="1"/>
  <c r="E863" i="1"/>
  <c r="D863" i="1"/>
  <c r="L862" i="1"/>
  <c r="T862" i="1" s="1"/>
  <c r="E862" i="1"/>
  <c r="D862" i="1"/>
  <c r="L861" i="1"/>
  <c r="T861" i="1" s="1"/>
  <c r="E861" i="1"/>
  <c r="D861" i="1"/>
  <c r="L860" i="1"/>
  <c r="T860" i="1" s="1"/>
  <c r="E860" i="1"/>
  <c r="D860" i="1"/>
  <c r="L859" i="1"/>
  <c r="T859" i="1" s="1"/>
  <c r="E859" i="1"/>
  <c r="D859" i="1"/>
  <c r="L858" i="1"/>
  <c r="T858" i="1" s="1"/>
  <c r="E858" i="1"/>
  <c r="D858" i="1"/>
  <c r="L857" i="1"/>
  <c r="T857" i="1" s="1"/>
  <c r="E857" i="1"/>
  <c r="D857" i="1"/>
  <c r="L856" i="1"/>
  <c r="T856" i="1" s="1"/>
  <c r="E856" i="1"/>
  <c r="D856" i="1"/>
  <c r="L855" i="1"/>
  <c r="T855" i="1" s="1"/>
  <c r="E855" i="1"/>
  <c r="D855" i="1"/>
  <c r="L854" i="1"/>
  <c r="T854" i="1" s="1"/>
  <c r="E854" i="1"/>
  <c r="D854" i="1"/>
  <c r="L853" i="1"/>
  <c r="T853" i="1" s="1"/>
  <c r="E853" i="1"/>
  <c r="D853" i="1"/>
  <c r="L852" i="1"/>
  <c r="T852" i="1" s="1"/>
  <c r="E852" i="1"/>
  <c r="D852" i="1"/>
  <c r="L851" i="1"/>
  <c r="T851" i="1" s="1"/>
  <c r="E851" i="1"/>
  <c r="D851" i="1"/>
  <c r="L850" i="1"/>
  <c r="T850" i="1" s="1"/>
  <c r="E850" i="1"/>
  <c r="D850" i="1"/>
  <c r="L849" i="1"/>
  <c r="T849" i="1" s="1"/>
  <c r="E849" i="1"/>
  <c r="D849" i="1"/>
  <c r="L848" i="1"/>
  <c r="T848" i="1" s="1"/>
  <c r="E848" i="1"/>
  <c r="D848" i="1"/>
  <c r="L847" i="1"/>
  <c r="T847" i="1" s="1"/>
  <c r="E847" i="1"/>
  <c r="D847" i="1"/>
  <c r="L846" i="1"/>
  <c r="T846" i="1" s="1"/>
  <c r="E846" i="1"/>
  <c r="D846" i="1"/>
  <c r="L845" i="1"/>
  <c r="T845" i="1" s="1"/>
  <c r="E845" i="1"/>
  <c r="D845" i="1"/>
  <c r="L844" i="1"/>
  <c r="T844" i="1" s="1"/>
  <c r="E844" i="1"/>
  <c r="D844" i="1"/>
  <c r="L843" i="1"/>
  <c r="T843" i="1" s="1"/>
  <c r="E843" i="1"/>
  <c r="D843" i="1"/>
  <c r="L842" i="1"/>
  <c r="T842" i="1" s="1"/>
  <c r="E842" i="1"/>
  <c r="D842" i="1"/>
  <c r="L841" i="1"/>
  <c r="T841" i="1" s="1"/>
  <c r="E841" i="1"/>
  <c r="D841" i="1"/>
  <c r="L840" i="1"/>
  <c r="T840" i="1" s="1"/>
  <c r="E840" i="1"/>
  <c r="D840" i="1"/>
  <c r="L839" i="1"/>
  <c r="T839" i="1" s="1"/>
  <c r="E839" i="1"/>
  <c r="D839" i="1"/>
  <c r="L838" i="1"/>
  <c r="T838" i="1" s="1"/>
  <c r="E838" i="1"/>
  <c r="D838" i="1"/>
  <c r="L837" i="1"/>
  <c r="T837" i="1" s="1"/>
  <c r="E837" i="1"/>
  <c r="D837" i="1"/>
  <c r="L836" i="1"/>
  <c r="T836" i="1" s="1"/>
  <c r="E836" i="1"/>
  <c r="D836" i="1"/>
  <c r="L835" i="1"/>
  <c r="T835" i="1" s="1"/>
  <c r="E835" i="1"/>
  <c r="D835" i="1"/>
  <c r="L834" i="1"/>
  <c r="T834" i="1" s="1"/>
  <c r="E834" i="1"/>
  <c r="D834" i="1"/>
  <c r="L833" i="1"/>
  <c r="T833" i="1" s="1"/>
  <c r="E833" i="1"/>
  <c r="D833" i="1"/>
  <c r="L832" i="1"/>
  <c r="T832" i="1" s="1"/>
  <c r="E832" i="1"/>
  <c r="D832" i="1"/>
  <c r="L831" i="1"/>
  <c r="T831" i="1" s="1"/>
  <c r="E831" i="1"/>
  <c r="D831" i="1"/>
  <c r="L830" i="1"/>
  <c r="T830" i="1" s="1"/>
  <c r="E830" i="1"/>
  <c r="D830" i="1"/>
  <c r="L829" i="1"/>
  <c r="T829" i="1" s="1"/>
  <c r="E829" i="1"/>
  <c r="D829" i="1"/>
  <c r="L828" i="1"/>
  <c r="T828" i="1" s="1"/>
  <c r="E828" i="1"/>
  <c r="D828" i="1"/>
  <c r="L827" i="1"/>
  <c r="T827" i="1" s="1"/>
  <c r="E827" i="1"/>
  <c r="D827" i="1"/>
  <c r="L826" i="1"/>
  <c r="T826" i="1" s="1"/>
  <c r="E826" i="1"/>
  <c r="D826" i="1"/>
  <c r="L825" i="1"/>
  <c r="T825" i="1" s="1"/>
  <c r="E825" i="1"/>
  <c r="D825" i="1"/>
  <c r="L824" i="1"/>
  <c r="T824" i="1" s="1"/>
  <c r="E824" i="1"/>
  <c r="D824" i="1"/>
  <c r="L823" i="1"/>
  <c r="T823" i="1" s="1"/>
  <c r="E823" i="1"/>
  <c r="D823" i="1"/>
  <c r="L822" i="1"/>
  <c r="T822" i="1" s="1"/>
  <c r="E822" i="1"/>
  <c r="D822" i="1"/>
  <c r="L821" i="1"/>
  <c r="T821" i="1" s="1"/>
  <c r="E821" i="1"/>
  <c r="D821" i="1"/>
  <c r="L820" i="1"/>
  <c r="T820" i="1" s="1"/>
  <c r="E820" i="1"/>
  <c r="D820" i="1"/>
  <c r="L819" i="1"/>
  <c r="T819" i="1" s="1"/>
  <c r="E819" i="1"/>
  <c r="D819" i="1"/>
  <c r="L818" i="1"/>
  <c r="T818" i="1" s="1"/>
  <c r="E818" i="1"/>
  <c r="D818" i="1"/>
  <c r="L817" i="1"/>
  <c r="T817" i="1" s="1"/>
  <c r="E817" i="1"/>
  <c r="D817" i="1"/>
  <c r="L816" i="1"/>
  <c r="T816" i="1" s="1"/>
  <c r="E816" i="1"/>
  <c r="D816" i="1"/>
  <c r="L815" i="1"/>
  <c r="T815" i="1" s="1"/>
  <c r="E815" i="1"/>
  <c r="D815" i="1"/>
  <c r="L814" i="1"/>
  <c r="T814" i="1" s="1"/>
  <c r="E814" i="1"/>
  <c r="D814" i="1"/>
  <c r="L813" i="1"/>
  <c r="T813" i="1" s="1"/>
  <c r="E813" i="1"/>
  <c r="D813" i="1"/>
  <c r="L812" i="1"/>
  <c r="T812" i="1" s="1"/>
  <c r="E812" i="1"/>
  <c r="D812" i="1"/>
  <c r="L811" i="1"/>
  <c r="T811" i="1" s="1"/>
  <c r="E811" i="1"/>
  <c r="D811" i="1"/>
  <c r="L810" i="1"/>
  <c r="T810" i="1" s="1"/>
  <c r="E810" i="1"/>
  <c r="D810" i="1"/>
  <c r="L809" i="1"/>
  <c r="T809" i="1" s="1"/>
  <c r="E809" i="1"/>
  <c r="D809" i="1"/>
  <c r="L808" i="1"/>
  <c r="T808" i="1" s="1"/>
  <c r="E808" i="1"/>
  <c r="D808" i="1"/>
  <c r="L807" i="1"/>
  <c r="T807" i="1" s="1"/>
  <c r="E807" i="1"/>
  <c r="D807" i="1"/>
  <c r="L806" i="1"/>
  <c r="T806" i="1" s="1"/>
  <c r="E806" i="1"/>
  <c r="D806" i="1"/>
  <c r="L805" i="1"/>
  <c r="T805" i="1" s="1"/>
  <c r="E805" i="1"/>
  <c r="D805" i="1"/>
  <c r="L804" i="1"/>
  <c r="T804" i="1" s="1"/>
  <c r="E804" i="1"/>
  <c r="D804" i="1"/>
  <c r="L803" i="1"/>
  <c r="T803" i="1" s="1"/>
  <c r="E803" i="1"/>
  <c r="D803" i="1"/>
  <c r="L802" i="1"/>
  <c r="T802" i="1" s="1"/>
  <c r="E802" i="1"/>
  <c r="D802" i="1"/>
  <c r="L801" i="1"/>
  <c r="T801" i="1" s="1"/>
  <c r="E801" i="1"/>
  <c r="D801" i="1"/>
  <c r="L800" i="1"/>
  <c r="T800" i="1" s="1"/>
  <c r="E800" i="1"/>
  <c r="D800" i="1"/>
  <c r="L799" i="1"/>
  <c r="T799" i="1" s="1"/>
  <c r="E799" i="1"/>
  <c r="D799" i="1"/>
  <c r="L798" i="1"/>
  <c r="T798" i="1" s="1"/>
  <c r="E798" i="1"/>
  <c r="D798" i="1"/>
  <c r="L797" i="1"/>
  <c r="T797" i="1" s="1"/>
  <c r="E797" i="1"/>
  <c r="D797" i="1"/>
  <c r="L796" i="1"/>
  <c r="T796" i="1" s="1"/>
  <c r="E796" i="1"/>
  <c r="D796" i="1"/>
  <c r="L795" i="1"/>
  <c r="T795" i="1" s="1"/>
  <c r="E795" i="1"/>
  <c r="D795" i="1"/>
  <c r="L794" i="1"/>
  <c r="T794" i="1" s="1"/>
  <c r="E794" i="1"/>
  <c r="D794" i="1"/>
  <c r="L793" i="1"/>
  <c r="T793" i="1" s="1"/>
  <c r="E793" i="1"/>
  <c r="D793" i="1"/>
  <c r="L792" i="1"/>
  <c r="T792" i="1" s="1"/>
  <c r="E792" i="1"/>
  <c r="D792" i="1"/>
  <c r="L791" i="1"/>
  <c r="T791" i="1" s="1"/>
  <c r="E791" i="1"/>
  <c r="D791" i="1"/>
  <c r="L790" i="1"/>
  <c r="T790" i="1" s="1"/>
  <c r="E790" i="1"/>
  <c r="D790" i="1"/>
  <c r="L789" i="1"/>
  <c r="T789" i="1" s="1"/>
  <c r="E789" i="1"/>
  <c r="D789" i="1"/>
  <c r="L788" i="1"/>
  <c r="T788" i="1" s="1"/>
  <c r="E788" i="1"/>
  <c r="D788" i="1"/>
  <c r="L787" i="1"/>
  <c r="T787" i="1" s="1"/>
  <c r="E787" i="1"/>
  <c r="D787" i="1"/>
  <c r="L786" i="1"/>
  <c r="T786" i="1" s="1"/>
  <c r="E786" i="1"/>
  <c r="D786" i="1"/>
  <c r="L785" i="1"/>
  <c r="T785" i="1" s="1"/>
  <c r="E785" i="1"/>
  <c r="D785" i="1"/>
  <c r="L784" i="1"/>
  <c r="T784" i="1" s="1"/>
  <c r="E784" i="1"/>
  <c r="D784" i="1"/>
  <c r="L783" i="1"/>
  <c r="T783" i="1" s="1"/>
  <c r="E783" i="1"/>
  <c r="D783" i="1"/>
  <c r="L782" i="1"/>
  <c r="T782" i="1" s="1"/>
  <c r="E782" i="1"/>
  <c r="D782" i="1"/>
  <c r="L781" i="1"/>
  <c r="T781" i="1" s="1"/>
  <c r="E781" i="1"/>
  <c r="D781" i="1"/>
  <c r="L780" i="1"/>
  <c r="T780" i="1" s="1"/>
  <c r="E780" i="1"/>
  <c r="D780" i="1"/>
  <c r="L779" i="1"/>
  <c r="T779" i="1" s="1"/>
  <c r="E779" i="1"/>
  <c r="D779" i="1"/>
  <c r="L778" i="1"/>
  <c r="T778" i="1" s="1"/>
  <c r="E778" i="1"/>
  <c r="D778" i="1"/>
  <c r="L777" i="1"/>
  <c r="T777" i="1" s="1"/>
  <c r="E777" i="1"/>
  <c r="D777" i="1"/>
  <c r="L776" i="1"/>
  <c r="T776" i="1" s="1"/>
  <c r="E776" i="1"/>
  <c r="D776" i="1"/>
  <c r="L775" i="1"/>
  <c r="T775" i="1" s="1"/>
  <c r="E775" i="1"/>
  <c r="D775" i="1"/>
  <c r="L774" i="1"/>
  <c r="T774" i="1" s="1"/>
  <c r="E774" i="1"/>
  <c r="D774" i="1"/>
  <c r="L773" i="1"/>
  <c r="T773" i="1" s="1"/>
  <c r="E773" i="1"/>
  <c r="D773" i="1"/>
  <c r="L772" i="1"/>
  <c r="T772" i="1" s="1"/>
  <c r="E772" i="1"/>
  <c r="D772" i="1"/>
  <c r="L771" i="1"/>
  <c r="T771" i="1" s="1"/>
  <c r="E771" i="1"/>
  <c r="D771" i="1"/>
  <c r="L770" i="1"/>
  <c r="T770" i="1" s="1"/>
  <c r="E770" i="1"/>
  <c r="D770" i="1"/>
  <c r="L769" i="1"/>
  <c r="T769" i="1" s="1"/>
  <c r="E769" i="1"/>
  <c r="D769" i="1"/>
  <c r="L768" i="1"/>
  <c r="T768" i="1" s="1"/>
  <c r="E768" i="1"/>
  <c r="D768" i="1"/>
  <c r="L767" i="1"/>
  <c r="T767" i="1" s="1"/>
  <c r="E767" i="1"/>
  <c r="D767" i="1"/>
  <c r="L766" i="1"/>
  <c r="T766" i="1" s="1"/>
  <c r="E766" i="1"/>
  <c r="D766" i="1"/>
  <c r="L765" i="1"/>
  <c r="T765" i="1" s="1"/>
  <c r="E765" i="1"/>
  <c r="D765" i="1"/>
  <c r="L764" i="1"/>
  <c r="T764" i="1" s="1"/>
  <c r="E764" i="1"/>
  <c r="D764" i="1"/>
  <c r="L763" i="1"/>
  <c r="T763" i="1" s="1"/>
  <c r="E763" i="1"/>
  <c r="D763" i="1"/>
  <c r="L762" i="1"/>
  <c r="T762" i="1" s="1"/>
  <c r="E762" i="1"/>
  <c r="D762" i="1"/>
  <c r="L761" i="1"/>
  <c r="T761" i="1" s="1"/>
  <c r="E761" i="1"/>
  <c r="D761" i="1"/>
  <c r="L760" i="1"/>
  <c r="T760" i="1" s="1"/>
  <c r="E760" i="1"/>
  <c r="D760" i="1"/>
  <c r="L759" i="1"/>
  <c r="T759" i="1" s="1"/>
  <c r="E759" i="1"/>
  <c r="D759" i="1"/>
  <c r="L758" i="1"/>
  <c r="T758" i="1" s="1"/>
  <c r="E758" i="1"/>
  <c r="D758" i="1"/>
  <c r="L757" i="1"/>
  <c r="T757" i="1" s="1"/>
  <c r="E757" i="1"/>
  <c r="D757" i="1"/>
  <c r="L756" i="1"/>
  <c r="T756" i="1" s="1"/>
  <c r="E756" i="1"/>
  <c r="D756" i="1"/>
  <c r="L755" i="1"/>
  <c r="T755" i="1" s="1"/>
  <c r="E755" i="1"/>
  <c r="D755" i="1"/>
  <c r="L754" i="1"/>
  <c r="T754" i="1" s="1"/>
  <c r="E754" i="1"/>
  <c r="D754" i="1"/>
  <c r="L753" i="1"/>
  <c r="T753" i="1" s="1"/>
  <c r="E753" i="1"/>
  <c r="D753" i="1"/>
  <c r="L752" i="1"/>
  <c r="T752" i="1" s="1"/>
  <c r="E752" i="1"/>
  <c r="D752" i="1"/>
  <c r="L751" i="1"/>
  <c r="T751" i="1" s="1"/>
  <c r="E751" i="1"/>
  <c r="D751" i="1"/>
  <c r="L750" i="1"/>
  <c r="T750" i="1" s="1"/>
  <c r="E750" i="1"/>
  <c r="D750" i="1"/>
  <c r="L749" i="1"/>
  <c r="T749" i="1" s="1"/>
  <c r="E749" i="1"/>
  <c r="D749" i="1"/>
  <c r="L748" i="1"/>
  <c r="T748" i="1" s="1"/>
  <c r="E748" i="1"/>
  <c r="D748" i="1"/>
  <c r="L747" i="1"/>
  <c r="T747" i="1" s="1"/>
  <c r="E747" i="1"/>
  <c r="D747" i="1"/>
  <c r="L746" i="1"/>
  <c r="T746" i="1" s="1"/>
  <c r="E746" i="1"/>
  <c r="D746" i="1"/>
  <c r="L745" i="1"/>
  <c r="T745" i="1" s="1"/>
  <c r="E745" i="1"/>
  <c r="D745" i="1"/>
  <c r="L744" i="1"/>
  <c r="T744" i="1" s="1"/>
  <c r="E744" i="1"/>
  <c r="D744" i="1"/>
  <c r="L743" i="1"/>
  <c r="T743" i="1" s="1"/>
  <c r="E743" i="1"/>
  <c r="D743" i="1"/>
  <c r="L742" i="1"/>
  <c r="T742" i="1" s="1"/>
  <c r="E742" i="1"/>
  <c r="D742" i="1"/>
  <c r="L741" i="1"/>
  <c r="T741" i="1" s="1"/>
  <c r="E741" i="1"/>
  <c r="D741" i="1"/>
  <c r="L740" i="1"/>
  <c r="T740" i="1" s="1"/>
  <c r="E740" i="1"/>
  <c r="D740" i="1"/>
  <c r="L739" i="1"/>
  <c r="T739" i="1" s="1"/>
  <c r="E739" i="1"/>
  <c r="D739" i="1"/>
  <c r="L738" i="1"/>
  <c r="T738" i="1" s="1"/>
  <c r="E738" i="1"/>
  <c r="D738" i="1"/>
  <c r="L737" i="1"/>
  <c r="T737" i="1" s="1"/>
  <c r="E737" i="1"/>
  <c r="D737" i="1"/>
  <c r="L736" i="1"/>
  <c r="T736" i="1" s="1"/>
  <c r="E736" i="1"/>
  <c r="D736" i="1"/>
  <c r="L735" i="1"/>
  <c r="T735" i="1" s="1"/>
  <c r="E735" i="1"/>
  <c r="D735" i="1"/>
  <c r="L734" i="1"/>
  <c r="T734" i="1" s="1"/>
  <c r="E734" i="1"/>
  <c r="D734" i="1"/>
  <c r="L733" i="1"/>
  <c r="T733" i="1" s="1"/>
  <c r="E733" i="1"/>
  <c r="D733" i="1"/>
  <c r="L732" i="1"/>
  <c r="T732" i="1" s="1"/>
  <c r="E732" i="1"/>
  <c r="D732" i="1"/>
  <c r="L731" i="1"/>
  <c r="T731" i="1" s="1"/>
  <c r="E731" i="1"/>
  <c r="D731" i="1"/>
  <c r="L730" i="1"/>
  <c r="T730" i="1" s="1"/>
  <c r="E730" i="1"/>
  <c r="D730" i="1"/>
  <c r="L729" i="1"/>
  <c r="T729" i="1" s="1"/>
  <c r="E729" i="1"/>
  <c r="D729" i="1"/>
  <c r="L728" i="1"/>
  <c r="T728" i="1" s="1"/>
  <c r="E728" i="1"/>
  <c r="D728" i="1"/>
  <c r="L727" i="1"/>
  <c r="T727" i="1" s="1"/>
  <c r="E727" i="1"/>
  <c r="D727" i="1"/>
  <c r="L726" i="1"/>
  <c r="T726" i="1" s="1"/>
  <c r="E726" i="1"/>
  <c r="D726" i="1"/>
  <c r="L725" i="1"/>
  <c r="T725" i="1" s="1"/>
  <c r="E725" i="1"/>
  <c r="D725" i="1"/>
  <c r="L724" i="1"/>
  <c r="T724" i="1" s="1"/>
  <c r="E724" i="1"/>
  <c r="D724" i="1"/>
  <c r="L723" i="1"/>
  <c r="T723" i="1" s="1"/>
  <c r="E723" i="1"/>
  <c r="D723" i="1"/>
  <c r="L722" i="1"/>
  <c r="T722" i="1" s="1"/>
  <c r="E722" i="1"/>
  <c r="D722" i="1"/>
  <c r="L721" i="1"/>
  <c r="T721" i="1" s="1"/>
  <c r="E721" i="1"/>
  <c r="D721" i="1"/>
  <c r="L720" i="1"/>
  <c r="T720" i="1" s="1"/>
  <c r="E720" i="1"/>
  <c r="D720" i="1"/>
  <c r="L719" i="1"/>
  <c r="T719" i="1" s="1"/>
  <c r="E719" i="1"/>
  <c r="D719" i="1"/>
  <c r="L718" i="1"/>
  <c r="T718" i="1" s="1"/>
  <c r="E718" i="1"/>
  <c r="D718" i="1"/>
  <c r="L717" i="1"/>
  <c r="T717" i="1" s="1"/>
  <c r="E717" i="1"/>
  <c r="D717" i="1"/>
  <c r="L716" i="1"/>
  <c r="T716" i="1" s="1"/>
  <c r="E716" i="1"/>
  <c r="D716" i="1"/>
  <c r="L715" i="1"/>
  <c r="T715" i="1" s="1"/>
  <c r="E715" i="1"/>
  <c r="D715" i="1"/>
  <c r="L714" i="1"/>
  <c r="T714" i="1" s="1"/>
  <c r="E714" i="1"/>
  <c r="D714" i="1"/>
  <c r="L713" i="1"/>
  <c r="T713" i="1" s="1"/>
  <c r="E713" i="1"/>
  <c r="D713" i="1"/>
  <c r="L712" i="1"/>
  <c r="T712" i="1" s="1"/>
  <c r="E712" i="1"/>
  <c r="D712" i="1"/>
  <c r="L711" i="1"/>
  <c r="T711" i="1" s="1"/>
  <c r="E711" i="1"/>
  <c r="D711" i="1"/>
  <c r="L710" i="1"/>
  <c r="T710" i="1" s="1"/>
  <c r="E710" i="1"/>
  <c r="D710" i="1"/>
  <c r="L709" i="1"/>
  <c r="T709" i="1" s="1"/>
  <c r="E709" i="1"/>
  <c r="D709" i="1"/>
  <c r="L708" i="1"/>
  <c r="T708" i="1" s="1"/>
  <c r="E708" i="1"/>
  <c r="D708" i="1"/>
  <c r="L707" i="1"/>
  <c r="T707" i="1" s="1"/>
  <c r="E707" i="1"/>
  <c r="D707" i="1"/>
  <c r="L706" i="1"/>
  <c r="T706" i="1" s="1"/>
  <c r="E706" i="1"/>
  <c r="D706" i="1"/>
  <c r="L705" i="1"/>
  <c r="T705" i="1" s="1"/>
  <c r="E705" i="1"/>
  <c r="D705" i="1"/>
  <c r="L704" i="1"/>
  <c r="T704" i="1" s="1"/>
  <c r="E704" i="1"/>
  <c r="D704" i="1"/>
  <c r="L703" i="1"/>
  <c r="T703" i="1" s="1"/>
  <c r="E703" i="1"/>
  <c r="D703" i="1"/>
  <c r="L702" i="1"/>
  <c r="T702" i="1" s="1"/>
  <c r="E702" i="1"/>
  <c r="D702" i="1"/>
  <c r="L701" i="1"/>
  <c r="T701" i="1" s="1"/>
  <c r="E701" i="1"/>
  <c r="D701" i="1"/>
  <c r="L700" i="1"/>
  <c r="T700" i="1" s="1"/>
  <c r="E700" i="1"/>
  <c r="D700" i="1"/>
  <c r="L699" i="1"/>
  <c r="T699" i="1" s="1"/>
  <c r="E699" i="1"/>
  <c r="D699" i="1"/>
  <c r="L698" i="1"/>
  <c r="T698" i="1" s="1"/>
  <c r="E698" i="1"/>
  <c r="D698" i="1"/>
  <c r="L697" i="1"/>
  <c r="T697" i="1" s="1"/>
  <c r="E697" i="1"/>
  <c r="D697" i="1"/>
  <c r="L696" i="1"/>
  <c r="T696" i="1" s="1"/>
  <c r="E696" i="1"/>
  <c r="D696" i="1"/>
  <c r="L695" i="1"/>
  <c r="T695" i="1" s="1"/>
  <c r="E695" i="1"/>
  <c r="D695" i="1"/>
  <c r="L694" i="1"/>
  <c r="T694" i="1" s="1"/>
  <c r="E694" i="1"/>
  <c r="D694" i="1"/>
  <c r="L693" i="1"/>
  <c r="T693" i="1" s="1"/>
  <c r="E693" i="1"/>
  <c r="D693" i="1"/>
  <c r="L692" i="1"/>
  <c r="T692" i="1" s="1"/>
  <c r="E692" i="1"/>
  <c r="D692" i="1"/>
  <c r="L691" i="1"/>
  <c r="T691" i="1" s="1"/>
  <c r="E691" i="1"/>
  <c r="D691" i="1"/>
  <c r="L690" i="1"/>
  <c r="T690" i="1" s="1"/>
  <c r="E690" i="1"/>
  <c r="D690" i="1"/>
  <c r="L689" i="1"/>
  <c r="T689" i="1" s="1"/>
  <c r="E689" i="1"/>
  <c r="D689" i="1"/>
  <c r="L688" i="1"/>
  <c r="T688" i="1" s="1"/>
  <c r="E688" i="1"/>
  <c r="D688" i="1"/>
  <c r="L687" i="1"/>
  <c r="T687" i="1" s="1"/>
  <c r="E687" i="1"/>
  <c r="D687" i="1"/>
  <c r="L686" i="1"/>
  <c r="T686" i="1" s="1"/>
  <c r="E686" i="1"/>
  <c r="D686" i="1"/>
  <c r="L685" i="1"/>
  <c r="T685" i="1" s="1"/>
  <c r="E685" i="1"/>
  <c r="D685" i="1"/>
  <c r="L684" i="1"/>
  <c r="T684" i="1" s="1"/>
  <c r="E684" i="1"/>
  <c r="D684" i="1"/>
  <c r="L683" i="1"/>
  <c r="T683" i="1" s="1"/>
  <c r="E683" i="1"/>
  <c r="D683" i="1"/>
  <c r="L682" i="1"/>
  <c r="T682" i="1" s="1"/>
  <c r="E682" i="1"/>
  <c r="D682" i="1"/>
  <c r="L681" i="1"/>
  <c r="T681" i="1" s="1"/>
  <c r="E681" i="1"/>
  <c r="D681" i="1"/>
  <c r="L680" i="1"/>
  <c r="T680" i="1" s="1"/>
  <c r="E680" i="1"/>
  <c r="D680" i="1"/>
  <c r="L679" i="1"/>
  <c r="T679" i="1" s="1"/>
  <c r="E679" i="1"/>
  <c r="D679" i="1"/>
  <c r="L678" i="1"/>
  <c r="T678" i="1" s="1"/>
  <c r="E678" i="1"/>
  <c r="D678" i="1"/>
  <c r="L677" i="1"/>
  <c r="T677" i="1" s="1"/>
  <c r="E677" i="1"/>
  <c r="D677" i="1"/>
  <c r="L676" i="1"/>
  <c r="T676" i="1" s="1"/>
  <c r="E676" i="1"/>
  <c r="D676" i="1"/>
  <c r="L675" i="1"/>
  <c r="T675" i="1" s="1"/>
  <c r="E675" i="1"/>
  <c r="D675" i="1"/>
  <c r="L674" i="1"/>
  <c r="T674" i="1" s="1"/>
  <c r="E674" i="1"/>
  <c r="D674" i="1"/>
  <c r="L673" i="1"/>
  <c r="T673" i="1" s="1"/>
  <c r="E673" i="1"/>
  <c r="D673" i="1"/>
  <c r="L672" i="1"/>
  <c r="T672" i="1" s="1"/>
  <c r="E672" i="1"/>
  <c r="D672" i="1"/>
  <c r="L671" i="1"/>
  <c r="T671" i="1" s="1"/>
  <c r="E671" i="1"/>
  <c r="D671" i="1"/>
  <c r="L670" i="1"/>
  <c r="T670" i="1" s="1"/>
  <c r="E670" i="1"/>
  <c r="D670" i="1"/>
  <c r="L669" i="1"/>
  <c r="T669" i="1" s="1"/>
  <c r="E669" i="1"/>
  <c r="D669" i="1"/>
  <c r="L668" i="1"/>
  <c r="T668" i="1" s="1"/>
  <c r="E668" i="1"/>
  <c r="D668" i="1"/>
  <c r="L667" i="1"/>
  <c r="T667" i="1" s="1"/>
  <c r="E667" i="1"/>
  <c r="D667" i="1"/>
  <c r="L666" i="1"/>
  <c r="T666" i="1" s="1"/>
  <c r="E666" i="1"/>
  <c r="D666" i="1"/>
  <c r="L665" i="1"/>
  <c r="T665" i="1" s="1"/>
  <c r="E665" i="1"/>
  <c r="D665" i="1"/>
  <c r="L664" i="1"/>
  <c r="T664" i="1" s="1"/>
  <c r="E664" i="1"/>
  <c r="D664" i="1"/>
  <c r="L663" i="1"/>
  <c r="T663" i="1" s="1"/>
  <c r="E663" i="1"/>
  <c r="D663" i="1"/>
  <c r="L662" i="1"/>
  <c r="T662" i="1" s="1"/>
  <c r="E662" i="1"/>
  <c r="D662" i="1"/>
  <c r="L661" i="1"/>
  <c r="T661" i="1" s="1"/>
  <c r="E661" i="1"/>
  <c r="D661" i="1"/>
  <c r="L660" i="1"/>
  <c r="T660" i="1" s="1"/>
  <c r="E660" i="1"/>
  <c r="D660" i="1"/>
  <c r="L659" i="1"/>
  <c r="T659" i="1" s="1"/>
  <c r="E659" i="1"/>
  <c r="D659" i="1"/>
  <c r="L658" i="1"/>
  <c r="T658" i="1" s="1"/>
  <c r="E658" i="1"/>
  <c r="D658" i="1"/>
  <c r="L657" i="1"/>
  <c r="T657" i="1" s="1"/>
  <c r="E657" i="1"/>
  <c r="D657" i="1"/>
  <c r="L656" i="1"/>
  <c r="T656" i="1" s="1"/>
  <c r="E656" i="1"/>
  <c r="D656" i="1"/>
  <c r="L655" i="1"/>
  <c r="T655" i="1" s="1"/>
  <c r="E655" i="1"/>
  <c r="D655" i="1"/>
  <c r="L654" i="1"/>
  <c r="T654" i="1" s="1"/>
  <c r="E654" i="1"/>
  <c r="D654" i="1"/>
  <c r="L653" i="1"/>
  <c r="T653" i="1" s="1"/>
  <c r="E653" i="1"/>
  <c r="D653" i="1"/>
  <c r="L652" i="1"/>
  <c r="T652" i="1" s="1"/>
  <c r="E652" i="1"/>
  <c r="D652" i="1"/>
  <c r="L651" i="1"/>
  <c r="T651" i="1" s="1"/>
  <c r="E651" i="1"/>
  <c r="D651" i="1"/>
  <c r="L650" i="1"/>
  <c r="T650" i="1" s="1"/>
  <c r="E650" i="1"/>
  <c r="D650" i="1"/>
  <c r="L649" i="1"/>
  <c r="T649" i="1" s="1"/>
  <c r="E649" i="1"/>
  <c r="D649" i="1"/>
  <c r="L648" i="1"/>
  <c r="T648" i="1" s="1"/>
  <c r="E648" i="1"/>
  <c r="D648" i="1"/>
  <c r="L647" i="1"/>
  <c r="T647" i="1" s="1"/>
  <c r="E647" i="1"/>
  <c r="D647" i="1"/>
  <c r="L646" i="1"/>
  <c r="T646" i="1" s="1"/>
  <c r="E646" i="1"/>
  <c r="D646" i="1"/>
  <c r="L645" i="1"/>
  <c r="T645" i="1" s="1"/>
  <c r="E645" i="1"/>
  <c r="D645" i="1"/>
  <c r="L644" i="1"/>
  <c r="T644" i="1" s="1"/>
  <c r="E644" i="1"/>
  <c r="D644" i="1"/>
  <c r="L643" i="1"/>
  <c r="T643" i="1" s="1"/>
  <c r="E643" i="1"/>
  <c r="D643" i="1"/>
  <c r="L642" i="1"/>
  <c r="T642" i="1" s="1"/>
  <c r="E642" i="1"/>
  <c r="D642" i="1"/>
  <c r="L641" i="1"/>
  <c r="T641" i="1" s="1"/>
  <c r="E641" i="1"/>
  <c r="D641" i="1"/>
  <c r="L640" i="1"/>
  <c r="T640" i="1" s="1"/>
  <c r="E640" i="1"/>
  <c r="D640" i="1"/>
  <c r="L639" i="1"/>
  <c r="T639" i="1" s="1"/>
  <c r="E639" i="1"/>
  <c r="D639" i="1"/>
  <c r="L638" i="1"/>
  <c r="T638" i="1" s="1"/>
  <c r="E638" i="1"/>
  <c r="D638" i="1"/>
  <c r="L637" i="1"/>
  <c r="T637" i="1" s="1"/>
  <c r="E637" i="1"/>
  <c r="D637" i="1"/>
  <c r="L636" i="1"/>
  <c r="T636" i="1" s="1"/>
  <c r="E636" i="1"/>
  <c r="D636" i="1"/>
  <c r="L635" i="1"/>
  <c r="T635" i="1" s="1"/>
  <c r="E635" i="1"/>
  <c r="D635" i="1"/>
  <c r="L634" i="1"/>
  <c r="T634" i="1" s="1"/>
  <c r="E634" i="1"/>
  <c r="D634" i="1"/>
  <c r="L633" i="1"/>
  <c r="T633" i="1" s="1"/>
  <c r="E633" i="1"/>
  <c r="D633" i="1"/>
  <c r="L632" i="1"/>
  <c r="T632" i="1" s="1"/>
  <c r="E632" i="1"/>
  <c r="D632" i="1"/>
  <c r="L631" i="1"/>
  <c r="T631" i="1" s="1"/>
  <c r="E631" i="1"/>
  <c r="D631" i="1"/>
  <c r="L630" i="1"/>
  <c r="T630" i="1" s="1"/>
  <c r="E630" i="1"/>
  <c r="D630" i="1"/>
  <c r="L629" i="1"/>
  <c r="T629" i="1" s="1"/>
  <c r="E629" i="1"/>
  <c r="D629" i="1"/>
  <c r="L628" i="1"/>
  <c r="T628" i="1" s="1"/>
  <c r="E628" i="1"/>
  <c r="D628" i="1"/>
  <c r="L627" i="1"/>
  <c r="T627" i="1" s="1"/>
  <c r="E627" i="1"/>
  <c r="D627" i="1"/>
  <c r="L626" i="1"/>
  <c r="T626" i="1" s="1"/>
  <c r="E626" i="1"/>
  <c r="D626" i="1"/>
  <c r="L625" i="1"/>
  <c r="T625" i="1" s="1"/>
  <c r="E625" i="1"/>
  <c r="D625" i="1"/>
  <c r="L624" i="1"/>
  <c r="T624" i="1" s="1"/>
  <c r="E624" i="1"/>
  <c r="D624" i="1"/>
  <c r="L623" i="1"/>
  <c r="T623" i="1" s="1"/>
  <c r="E623" i="1"/>
  <c r="D623" i="1"/>
  <c r="L622" i="1"/>
  <c r="T622" i="1" s="1"/>
  <c r="E622" i="1"/>
  <c r="D622" i="1"/>
  <c r="L621" i="1"/>
  <c r="T621" i="1" s="1"/>
  <c r="E621" i="1"/>
  <c r="D621" i="1"/>
  <c r="L620" i="1"/>
  <c r="T620" i="1" s="1"/>
  <c r="E620" i="1"/>
  <c r="D620" i="1"/>
  <c r="L619" i="1"/>
  <c r="T619" i="1" s="1"/>
  <c r="E619" i="1"/>
  <c r="D619" i="1"/>
  <c r="L618" i="1"/>
  <c r="T618" i="1" s="1"/>
  <c r="E618" i="1"/>
  <c r="D618" i="1"/>
  <c r="L617" i="1"/>
  <c r="T617" i="1" s="1"/>
  <c r="E617" i="1"/>
  <c r="D617" i="1"/>
  <c r="L616" i="1"/>
  <c r="T616" i="1" s="1"/>
  <c r="E616" i="1"/>
  <c r="D616" i="1"/>
  <c r="L615" i="1"/>
  <c r="T615" i="1" s="1"/>
  <c r="E615" i="1"/>
  <c r="D615" i="1"/>
  <c r="L614" i="1"/>
  <c r="T614" i="1" s="1"/>
  <c r="E614" i="1"/>
  <c r="D614" i="1"/>
  <c r="L613" i="1"/>
  <c r="T613" i="1" s="1"/>
  <c r="E613" i="1"/>
  <c r="D613" i="1"/>
  <c r="L612" i="1"/>
  <c r="T612" i="1" s="1"/>
  <c r="E612" i="1"/>
  <c r="D612" i="1"/>
  <c r="L611" i="1"/>
  <c r="T611" i="1" s="1"/>
  <c r="E611" i="1"/>
  <c r="D611" i="1"/>
  <c r="L610" i="1"/>
  <c r="T610" i="1" s="1"/>
  <c r="E610" i="1"/>
  <c r="D610" i="1"/>
  <c r="L609" i="1"/>
  <c r="T609" i="1" s="1"/>
  <c r="E609" i="1"/>
  <c r="D609" i="1"/>
  <c r="L608" i="1"/>
  <c r="T608" i="1" s="1"/>
  <c r="E608" i="1"/>
  <c r="D608" i="1"/>
  <c r="L607" i="1"/>
  <c r="T607" i="1" s="1"/>
  <c r="E607" i="1"/>
  <c r="D607" i="1"/>
  <c r="L606" i="1"/>
  <c r="T606" i="1" s="1"/>
  <c r="E606" i="1"/>
  <c r="D606" i="1"/>
  <c r="L605" i="1"/>
  <c r="T605" i="1" s="1"/>
  <c r="E605" i="1"/>
  <c r="D605" i="1"/>
  <c r="L604" i="1"/>
  <c r="T604" i="1" s="1"/>
  <c r="E604" i="1"/>
  <c r="D604" i="1"/>
  <c r="L603" i="1"/>
  <c r="T603" i="1" s="1"/>
  <c r="E603" i="1"/>
  <c r="D603" i="1"/>
  <c r="L602" i="1"/>
  <c r="T602" i="1" s="1"/>
  <c r="E602" i="1"/>
  <c r="D602" i="1"/>
  <c r="L601" i="1"/>
  <c r="T601" i="1" s="1"/>
  <c r="E601" i="1"/>
  <c r="D601" i="1"/>
  <c r="L600" i="1"/>
  <c r="T600" i="1" s="1"/>
  <c r="E600" i="1"/>
  <c r="D600" i="1"/>
  <c r="L599" i="1"/>
  <c r="T599" i="1" s="1"/>
  <c r="E599" i="1"/>
  <c r="D599" i="1"/>
  <c r="L598" i="1"/>
  <c r="T598" i="1" s="1"/>
  <c r="E598" i="1"/>
  <c r="D598" i="1"/>
  <c r="L597" i="1"/>
  <c r="T597" i="1" s="1"/>
  <c r="E597" i="1"/>
  <c r="D597" i="1"/>
  <c r="L596" i="1"/>
  <c r="T596" i="1" s="1"/>
  <c r="E596" i="1"/>
  <c r="D596" i="1"/>
  <c r="L595" i="1"/>
  <c r="T595" i="1" s="1"/>
  <c r="E595" i="1"/>
  <c r="D595" i="1"/>
  <c r="L594" i="1"/>
  <c r="T594" i="1" s="1"/>
  <c r="E594" i="1"/>
  <c r="D594" i="1"/>
  <c r="L593" i="1"/>
  <c r="T593" i="1" s="1"/>
  <c r="E593" i="1"/>
  <c r="D593" i="1"/>
  <c r="L592" i="1"/>
  <c r="T592" i="1" s="1"/>
  <c r="E592" i="1"/>
  <c r="D592" i="1"/>
  <c r="L591" i="1"/>
  <c r="T591" i="1" s="1"/>
  <c r="E591" i="1"/>
  <c r="D591" i="1"/>
  <c r="L590" i="1"/>
  <c r="T590" i="1" s="1"/>
  <c r="E590" i="1"/>
  <c r="D590" i="1"/>
  <c r="L589" i="1"/>
  <c r="T589" i="1" s="1"/>
  <c r="E589" i="1"/>
  <c r="D589" i="1"/>
  <c r="L588" i="1"/>
  <c r="T588" i="1" s="1"/>
  <c r="E588" i="1"/>
  <c r="D588" i="1"/>
  <c r="L587" i="1"/>
  <c r="T587" i="1" s="1"/>
  <c r="E587" i="1"/>
  <c r="D587" i="1"/>
  <c r="L586" i="1"/>
  <c r="T586" i="1" s="1"/>
  <c r="E586" i="1"/>
  <c r="D586" i="1"/>
  <c r="L585" i="1"/>
  <c r="T585" i="1" s="1"/>
  <c r="E585" i="1"/>
  <c r="D585" i="1"/>
  <c r="L584" i="1"/>
  <c r="T584" i="1" s="1"/>
  <c r="E584" i="1"/>
  <c r="D584" i="1"/>
  <c r="L583" i="1"/>
  <c r="T583" i="1" s="1"/>
  <c r="E583" i="1"/>
  <c r="D583" i="1"/>
  <c r="L582" i="1"/>
  <c r="T582" i="1" s="1"/>
  <c r="E582" i="1"/>
  <c r="D582" i="1"/>
  <c r="L581" i="1"/>
  <c r="T581" i="1" s="1"/>
  <c r="E581" i="1"/>
  <c r="D581" i="1"/>
  <c r="L580" i="1"/>
  <c r="T580" i="1" s="1"/>
  <c r="E580" i="1"/>
  <c r="D580" i="1"/>
  <c r="L579" i="1"/>
  <c r="T579" i="1" s="1"/>
  <c r="E579" i="1"/>
  <c r="D579" i="1"/>
  <c r="L578" i="1"/>
  <c r="T578" i="1" s="1"/>
  <c r="E578" i="1"/>
  <c r="D578" i="1"/>
  <c r="L577" i="1"/>
  <c r="T577" i="1" s="1"/>
  <c r="E577" i="1"/>
  <c r="D577" i="1"/>
  <c r="L576" i="1"/>
  <c r="T576" i="1" s="1"/>
  <c r="E576" i="1"/>
  <c r="D576" i="1"/>
  <c r="L575" i="1"/>
  <c r="T575" i="1" s="1"/>
  <c r="E575" i="1"/>
  <c r="D575" i="1"/>
  <c r="L574" i="1"/>
  <c r="T574" i="1" s="1"/>
  <c r="E574" i="1"/>
  <c r="D574" i="1"/>
  <c r="L573" i="1"/>
  <c r="T573" i="1" s="1"/>
  <c r="E573" i="1"/>
  <c r="D573" i="1"/>
  <c r="L572" i="1"/>
  <c r="T572" i="1" s="1"/>
  <c r="E572" i="1"/>
  <c r="D572" i="1"/>
  <c r="L571" i="1"/>
  <c r="T571" i="1" s="1"/>
  <c r="E571" i="1"/>
  <c r="D571" i="1"/>
  <c r="L570" i="1"/>
  <c r="T570" i="1" s="1"/>
  <c r="E570" i="1"/>
  <c r="D570" i="1"/>
  <c r="L569" i="1"/>
  <c r="T569" i="1" s="1"/>
  <c r="E569" i="1"/>
  <c r="D569" i="1"/>
  <c r="L568" i="1"/>
  <c r="T568" i="1" s="1"/>
  <c r="E568" i="1"/>
  <c r="D568" i="1"/>
  <c r="L567" i="1"/>
  <c r="T567" i="1" s="1"/>
  <c r="E567" i="1"/>
  <c r="D567" i="1"/>
  <c r="L566" i="1"/>
  <c r="T566" i="1" s="1"/>
  <c r="E566" i="1"/>
  <c r="D566" i="1"/>
  <c r="L565" i="1"/>
  <c r="T565" i="1" s="1"/>
  <c r="E565" i="1"/>
  <c r="D565" i="1"/>
  <c r="L564" i="1"/>
  <c r="T564" i="1" s="1"/>
  <c r="E564" i="1"/>
  <c r="D564" i="1"/>
  <c r="L563" i="1"/>
  <c r="T563" i="1" s="1"/>
  <c r="E563" i="1"/>
  <c r="D563" i="1"/>
  <c r="L562" i="1"/>
  <c r="T562" i="1" s="1"/>
  <c r="E562" i="1"/>
  <c r="D562" i="1"/>
  <c r="L561" i="1"/>
  <c r="T561" i="1" s="1"/>
  <c r="E561" i="1"/>
  <c r="D561" i="1"/>
  <c r="L560" i="1"/>
  <c r="T560" i="1" s="1"/>
  <c r="E560" i="1"/>
  <c r="D560" i="1"/>
  <c r="L559" i="1"/>
  <c r="T559" i="1" s="1"/>
  <c r="E559" i="1"/>
  <c r="D559" i="1"/>
  <c r="L558" i="1"/>
  <c r="T558" i="1" s="1"/>
  <c r="E558" i="1"/>
  <c r="D558" i="1"/>
  <c r="L557" i="1"/>
  <c r="T557" i="1" s="1"/>
  <c r="E557" i="1"/>
  <c r="D557" i="1"/>
  <c r="L556" i="1"/>
  <c r="T556" i="1" s="1"/>
  <c r="E556" i="1"/>
  <c r="D556" i="1"/>
  <c r="L555" i="1"/>
  <c r="T555" i="1" s="1"/>
  <c r="E555" i="1"/>
  <c r="D555" i="1"/>
  <c r="L554" i="1"/>
  <c r="T554" i="1" s="1"/>
  <c r="E554" i="1"/>
  <c r="D554" i="1"/>
  <c r="L553" i="1"/>
  <c r="T553" i="1" s="1"/>
  <c r="E553" i="1"/>
  <c r="D553" i="1"/>
  <c r="L552" i="1"/>
  <c r="T552" i="1" s="1"/>
  <c r="E552" i="1"/>
  <c r="D552" i="1"/>
  <c r="L551" i="1"/>
  <c r="T551" i="1" s="1"/>
  <c r="E551" i="1"/>
  <c r="D551" i="1"/>
  <c r="L550" i="1"/>
  <c r="T550" i="1" s="1"/>
  <c r="E550" i="1"/>
  <c r="D550" i="1"/>
  <c r="L549" i="1"/>
  <c r="T549" i="1" s="1"/>
  <c r="E549" i="1"/>
  <c r="D549" i="1"/>
  <c r="L548" i="1"/>
  <c r="T548" i="1" s="1"/>
  <c r="E548" i="1"/>
  <c r="D548" i="1"/>
  <c r="L547" i="1"/>
  <c r="T547" i="1" s="1"/>
  <c r="E547" i="1"/>
  <c r="D547" i="1"/>
  <c r="L546" i="1"/>
  <c r="T546" i="1" s="1"/>
  <c r="E546" i="1"/>
  <c r="D546" i="1"/>
  <c r="L545" i="1"/>
  <c r="T545" i="1" s="1"/>
  <c r="E545" i="1"/>
  <c r="D545" i="1"/>
  <c r="L544" i="1"/>
  <c r="T544" i="1" s="1"/>
  <c r="E544" i="1"/>
  <c r="D544" i="1"/>
  <c r="L543" i="1"/>
  <c r="T543" i="1" s="1"/>
  <c r="E543" i="1"/>
  <c r="D543" i="1"/>
  <c r="L542" i="1"/>
  <c r="T542" i="1" s="1"/>
  <c r="E542" i="1"/>
  <c r="D542" i="1"/>
  <c r="L541" i="1"/>
  <c r="T541" i="1" s="1"/>
  <c r="E541" i="1"/>
  <c r="D541" i="1"/>
  <c r="L540" i="1"/>
  <c r="T540" i="1" s="1"/>
  <c r="E540" i="1"/>
  <c r="D540" i="1"/>
  <c r="L539" i="1"/>
  <c r="T539" i="1" s="1"/>
  <c r="E539" i="1"/>
  <c r="D539" i="1"/>
  <c r="L538" i="1"/>
  <c r="T538" i="1" s="1"/>
  <c r="E538" i="1"/>
  <c r="D538" i="1"/>
  <c r="L537" i="1"/>
  <c r="T537" i="1" s="1"/>
  <c r="E537" i="1"/>
  <c r="D537" i="1"/>
  <c r="L536" i="1"/>
  <c r="T536" i="1" s="1"/>
  <c r="E536" i="1"/>
  <c r="D536" i="1"/>
  <c r="L535" i="1"/>
  <c r="T535" i="1" s="1"/>
  <c r="E535" i="1"/>
  <c r="D535" i="1"/>
  <c r="L534" i="1"/>
  <c r="T534" i="1" s="1"/>
  <c r="E534" i="1"/>
  <c r="D534" i="1"/>
  <c r="L533" i="1"/>
  <c r="T533" i="1" s="1"/>
  <c r="E533" i="1"/>
  <c r="D533" i="1"/>
  <c r="L532" i="1"/>
  <c r="T532" i="1" s="1"/>
  <c r="E532" i="1"/>
  <c r="D532" i="1"/>
  <c r="L531" i="1"/>
  <c r="T531" i="1" s="1"/>
  <c r="E531" i="1"/>
  <c r="D531" i="1"/>
  <c r="L530" i="1"/>
  <c r="T530" i="1" s="1"/>
  <c r="E530" i="1"/>
  <c r="D530" i="1"/>
  <c r="L529" i="1"/>
  <c r="T529" i="1" s="1"/>
  <c r="E529" i="1"/>
  <c r="D529" i="1"/>
  <c r="L528" i="1"/>
  <c r="T528" i="1" s="1"/>
  <c r="E528" i="1"/>
  <c r="D528" i="1"/>
  <c r="L527" i="1"/>
  <c r="T527" i="1" s="1"/>
  <c r="E527" i="1"/>
  <c r="D527" i="1"/>
  <c r="L526" i="1"/>
  <c r="T526" i="1" s="1"/>
  <c r="E526" i="1"/>
  <c r="D526" i="1"/>
  <c r="L525" i="1"/>
  <c r="T525" i="1" s="1"/>
  <c r="E525" i="1"/>
  <c r="D525" i="1"/>
  <c r="L524" i="1"/>
  <c r="T524" i="1" s="1"/>
  <c r="E524" i="1"/>
  <c r="D524" i="1"/>
  <c r="L523" i="1"/>
  <c r="T523" i="1" s="1"/>
  <c r="E523" i="1"/>
  <c r="D523" i="1"/>
  <c r="L522" i="1"/>
  <c r="T522" i="1" s="1"/>
  <c r="E522" i="1"/>
  <c r="D522" i="1"/>
  <c r="L521" i="1"/>
  <c r="T521" i="1" s="1"/>
  <c r="E521" i="1"/>
  <c r="D521" i="1"/>
  <c r="L520" i="1"/>
  <c r="T520" i="1" s="1"/>
  <c r="E520" i="1"/>
  <c r="D520" i="1"/>
  <c r="L519" i="1"/>
  <c r="T519" i="1" s="1"/>
  <c r="E519" i="1"/>
  <c r="D519" i="1"/>
  <c r="L518" i="1"/>
  <c r="T518" i="1" s="1"/>
  <c r="E518" i="1"/>
  <c r="D518" i="1"/>
  <c r="L517" i="1"/>
  <c r="T517" i="1" s="1"/>
  <c r="E517" i="1"/>
  <c r="D517" i="1"/>
  <c r="L516" i="1"/>
  <c r="T516" i="1" s="1"/>
  <c r="E516" i="1"/>
  <c r="D516" i="1"/>
  <c r="L515" i="1"/>
  <c r="T515" i="1" s="1"/>
  <c r="E515" i="1"/>
  <c r="D515" i="1"/>
  <c r="L514" i="1"/>
  <c r="T514" i="1" s="1"/>
  <c r="E514" i="1"/>
  <c r="D514" i="1"/>
  <c r="L513" i="1"/>
  <c r="T513" i="1" s="1"/>
  <c r="E513" i="1"/>
  <c r="D513" i="1"/>
  <c r="L512" i="1"/>
  <c r="T512" i="1" s="1"/>
  <c r="E512" i="1"/>
  <c r="D512" i="1"/>
  <c r="L511" i="1"/>
  <c r="T511" i="1" s="1"/>
  <c r="E511" i="1"/>
  <c r="D511" i="1"/>
  <c r="L510" i="1"/>
  <c r="T510" i="1" s="1"/>
  <c r="E510" i="1"/>
  <c r="D510" i="1"/>
  <c r="L509" i="1"/>
  <c r="T509" i="1" s="1"/>
  <c r="E509" i="1"/>
  <c r="D509" i="1"/>
  <c r="L508" i="1"/>
  <c r="T508" i="1" s="1"/>
  <c r="E508" i="1"/>
  <c r="D508" i="1"/>
  <c r="L507" i="1"/>
  <c r="T507" i="1" s="1"/>
  <c r="E507" i="1"/>
  <c r="D507" i="1"/>
  <c r="L506" i="1"/>
  <c r="T506" i="1" s="1"/>
  <c r="E506" i="1"/>
  <c r="D506" i="1"/>
  <c r="L505" i="1"/>
  <c r="T505" i="1" s="1"/>
  <c r="E505" i="1"/>
  <c r="D505" i="1"/>
  <c r="L504" i="1"/>
  <c r="T504" i="1" s="1"/>
  <c r="E504" i="1"/>
  <c r="D504" i="1"/>
  <c r="L503" i="1"/>
  <c r="T503" i="1" s="1"/>
  <c r="E503" i="1"/>
  <c r="D503" i="1"/>
  <c r="L502" i="1"/>
  <c r="T502" i="1" s="1"/>
  <c r="E502" i="1"/>
  <c r="D502" i="1"/>
  <c r="L501" i="1"/>
  <c r="T501" i="1" s="1"/>
  <c r="E501" i="1"/>
  <c r="D501" i="1"/>
  <c r="L500" i="1"/>
  <c r="T500" i="1" s="1"/>
  <c r="E500" i="1"/>
  <c r="D500" i="1"/>
  <c r="L499" i="1"/>
  <c r="T499" i="1" s="1"/>
  <c r="E499" i="1"/>
  <c r="D499" i="1"/>
  <c r="L498" i="1"/>
  <c r="T498" i="1" s="1"/>
  <c r="E498" i="1"/>
  <c r="D498" i="1"/>
  <c r="L497" i="1"/>
  <c r="T497" i="1" s="1"/>
  <c r="E497" i="1"/>
  <c r="D497" i="1"/>
  <c r="L496" i="1"/>
  <c r="T496" i="1" s="1"/>
  <c r="E496" i="1"/>
  <c r="D496" i="1"/>
  <c r="L495" i="1"/>
  <c r="T495" i="1" s="1"/>
  <c r="E495" i="1"/>
  <c r="D495" i="1"/>
  <c r="L494" i="1"/>
  <c r="T494" i="1" s="1"/>
  <c r="E494" i="1"/>
  <c r="D494" i="1"/>
  <c r="L493" i="1"/>
  <c r="T493" i="1" s="1"/>
  <c r="E493" i="1"/>
  <c r="D493" i="1"/>
  <c r="L492" i="1"/>
  <c r="T492" i="1" s="1"/>
  <c r="E492" i="1"/>
  <c r="D492" i="1"/>
  <c r="L491" i="1"/>
  <c r="T491" i="1" s="1"/>
  <c r="E491" i="1"/>
  <c r="D491" i="1"/>
  <c r="L490" i="1"/>
  <c r="T490" i="1" s="1"/>
  <c r="E490" i="1"/>
  <c r="D490" i="1"/>
  <c r="L489" i="1"/>
  <c r="T489" i="1" s="1"/>
  <c r="E489" i="1"/>
  <c r="D489" i="1"/>
  <c r="L488" i="1"/>
  <c r="T488" i="1" s="1"/>
  <c r="E488" i="1"/>
  <c r="D488" i="1"/>
  <c r="L487" i="1"/>
  <c r="T487" i="1" s="1"/>
  <c r="E487" i="1"/>
  <c r="D487" i="1"/>
  <c r="L486" i="1"/>
  <c r="T486" i="1" s="1"/>
  <c r="E486" i="1"/>
  <c r="D486" i="1"/>
  <c r="L485" i="1"/>
  <c r="T485" i="1" s="1"/>
  <c r="E485" i="1"/>
  <c r="D485" i="1"/>
  <c r="L484" i="1"/>
  <c r="T484" i="1" s="1"/>
  <c r="E484" i="1"/>
  <c r="D484" i="1"/>
  <c r="L483" i="1"/>
  <c r="T483" i="1" s="1"/>
  <c r="E483" i="1"/>
  <c r="D483" i="1"/>
  <c r="L482" i="1"/>
  <c r="T482" i="1" s="1"/>
  <c r="E482" i="1"/>
  <c r="D482" i="1"/>
  <c r="L481" i="1"/>
  <c r="T481" i="1" s="1"/>
  <c r="E481" i="1"/>
  <c r="D481" i="1"/>
  <c r="L480" i="1"/>
  <c r="T480" i="1" s="1"/>
  <c r="E480" i="1"/>
  <c r="D480" i="1"/>
  <c r="L479" i="1"/>
  <c r="T479" i="1" s="1"/>
  <c r="E479" i="1"/>
  <c r="D479" i="1"/>
  <c r="L478" i="1"/>
  <c r="T478" i="1" s="1"/>
  <c r="E478" i="1"/>
  <c r="D478" i="1"/>
  <c r="L477" i="1"/>
  <c r="T477" i="1" s="1"/>
  <c r="E477" i="1"/>
  <c r="D477" i="1"/>
  <c r="L476" i="1"/>
  <c r="T476" i="1" s="1"/>
  <c r="E476" i="1"/>
  <c r="D476" i="1"/>
  <c r="L475" i="1"/>
  <c r="T475" i="1" s="1"/>
  <c r="E475" i="1"/>
  <c r="D475" i="1"/>
  <c r="L474" i="1"/>
  <c r="T474" i="1" s="1"/>
  <c r="E474" i="1"/>
  <c r="D474" i="1"/>
  <c r="L473" i="1"/>
  <c r="T473" i="1" s="1"/>
  <c r="E473" i="1"/>
  <c r="D473" i="1"/>
  <c r="L472" i="1"/>
  <c r="T472" i="1" s="1"/>
  <c r="E472" i="1"/>
  <c r="D472" i="1"/>
  <c r="L471" i="1"/>
  <c r="T471" i="1" s="1"/>
  <c r="E471" i="1"/>
  <c r="D471" i="1"/>
  <c r="L470" i="1"/>
  <c r="T470" i="1" s="1"/>
  <c r="E470" i="1"/>
  <c r="D470" i="1"/>
  <c r="L469" i="1"/>
  <c r="T469" i="1" s="1"/>
  <c r="E469" i="1"/>
  <c r="D469" i="1"/>
  <c r="L468" i="1"/>
  <c r="T468" i="1" s="1"/>
  <c r="E468" i="1"/>
  <c r="D468" i="1"/>
  <c r="L467" i="1"/>
  <c r="T467" i="1" s="1"/>
  <c r="E467" i="1"/>
  <c r="D467" i="1"/>
  <c r="L466" i="1"/>
  <c r="T466" i="1" s="1"/>
  <c r="E466" i="1"/>
  <c r="D466" i="1"/>
  <c r="L465" i="1"/>
  <c r="T465" i="1" s="1"/>
  <c r="E465" i="1"/>
  <c r="D465" i="1"/>
  <c r="L464" i="1"/>
  <c r="T464" i="1" s="1"/>
  <c r="E464" i="1"/>
  <c r="D464" i="1"/>
  <c r="L463" i="1"/>
  <c r="T463" i="1" s="1"/>
  <c r="E463" i="1"/>
  <c r="D463" i="1"/>
  <c r="L462" i="1"/>
  <c r="T462" i="1" s="1"/>
  <c r="E462" i="1"/>
  <c r="D462" i="1"/>
  <c r="L461" i="1"/>
  <c r="T461" i="1" s="1"/>
  <c r="E461" i="1"/>
  <c r="D461" i="1"/>
  <c r="L460" i="1"/>
  <c r="T460" i="1" s="1"/>
  <c r="E460" i="1"/>
  <c r="D460" i="1"/>
  <c r="L459" i="1"/>
  <c r="T459" i="1" s="1"/>
  <c r="E459" i="1"/>
  <c r="D459" i="1"/>
  <c r="L458" i="1"/>
  <c r="T458" i="1" s="1"/>
  <c r="E458" i="1"/>
  <c r="D458" i="1"/>
  <c r="L457" i="1"/>
  <c r="T457" i="1" s="1"/>
  <c r="E457" i="1"/>
  <c r="D457" i="1"/>
  <c r="L456" i="1"/>
  <c r="T456" i="1" s="1"/>
  <c r="E456" i="1"/>
  <c r="D456" i="1"/>
  <c r="L455" i="1"/>
  <c r="T455" i="1" s="1"/>
  <c r="E455" i="1"/>
  <c r="D455" i="1"/>
  <c r="L454" i="1"/>
  <c r="T454" i="1" s="1"/>
  <c r="E454" i="1"/>
  <c r="D454" i="1"/>
  <c r="L453" i="1"/>
  <c r="T453" i="1" s="1"/>
  <c r="E453" i="1"/>
  <c r="D453" i="1"/>
  <c r="L452" i="1"/>
  <c r="T452" i="1" s="1"/>
  <c r="E452" i="1"/>
  <c r="D452" i="1"/>
  <c r="L451" i="1"/>
  <c r="T451" i="1" s="1"/>
  <c r="E451" i="1"/>
  <c r="D451" i="1"/>
  <c r="L450" i="1"/>
  <c r="T450" i="1" s="1"/>
  <c r="E450" i="1"/>
  <c r="D450" i="1"/>
  <c r="L449" i="1"/>
  <c r="T449" i="1" s="1"/>
  <c r="E449" i="1"/>
  <c r="D449" i="1"/>
  <c r="L448" i="1"/>
  <c r="T448" i="1" s="1"/>
  <c r="E448" i="1"/>
  <c r="D448" i="1"/>
  <c r="L447" i="1"/>
  <c r="T447" i="1" s="1"/>
  <c r="E447" i="1"/>
  <c r="D447" i="1"/>
  <c r="L446" i="1"/>
  <c r="T446" i="1" s="1"/>
  <c r="E446" i="1"/>
  <c r="D446" i="1"/>
  <c r="L445" i="1"/>
  <c r="T445" i="1" s="1"/>
  <c r="E445" i="1"/>
  <c r="D445" i="1"/>
  <c r="L444" i="1"/>
  <c r="T444" i="1" s="1"/>
  <c r="E444" i="1"/>
  <c r="D444" i="1"/>
  <c r="L443" i="1"/>
  <c r="T443" i="1" s="1"/>
  <c r="E443" i="1"/>
  <c r="D443" i="1"/>
  <c r="L442" i="1"/>
  <c r="T442" i="1" s="1"/>
  <c r="E442" i="1"/>
  <c r="D442" i="1"/>
  <c r="L441" i="1"/>
  <c r="T441" i="1" s="1"/>
  <c r="E441" i="1"/>
  <c r="D441" i="1"/>
  <c r="L440" i="1"/>
  <c r="T440" i="1" s="1"/>
  <c r="E440" i="1"/>
  <c r="D440" i="1"/>
  <c r="L439" i="1"/>
  <c r="T439" i="1" s="1"/>
  <c r="E439" i="1"/>
  <c r="D439" i="1"/>
  <c r="L438" i="1"/>
  <c r="T438" i="1" s="1"/>
  <c r="E438" i="1"/>
  <c r="D438" i="1"/>
  <c r="L437" i="1"/>
  <c r="T437" i="1" s="1"/>
  <c r="E437" i="1"/>
  <c r="D437" i="1"/>
  <c r="L436" i="1"/>
  <c r="T436" i="1" s="1"/>
  <c r="E436" i="1"/>
  <c r="D436" i="1"/>
  <c r="L435" i="1"/>
  <c r="T435" i="1" s="1"/>
  <c r="E435" i="1"/>
  <c r="D435" i="1"/>
  <c r="L434" i="1"/>
  <c r="T434" i="1" s="1"/>
  <c r="E434" i="1"/>
  <c r="D434" i="1"/>
  <c r="L433" i="1"/>
  <c r="T433" i="1" s="1"/>
  <c r="E433" i="1"/>
  <c r="D433" i="1"/>
  <c r="L432" i="1"/>
  <c r="T432" i="1" s="1"/>
  <c r="E432" i="1"/>
  <c r="D432" i="1"/>
  <c r="L431" i="1"/>
  <c r="T431" i="1" s="1"/>
  <c r="E431" i="1"/>
  <c r="D431" i="1"/>
  <c r="L430" i="1"/>
  <c r="T430" i="1" s="1"/>
  <c r="E430" i="1"/>
  <c r="D430" i="1"/>
  <c r="L429" i="1"/>
  <c r="T429" i="1" s="1"/>
  <c r="E429" i="1"/>
  <c r="D429" i="1"/>
  <c r="L428" i="1"/>
  <c r="T428" i="1" s="1"/>
  <c r="E428" i="1"/>
  <c r="D428" i="1"/>
  <c r="L427" i="1"/>
  <c r="T427" i="1" s="1"/>
  <c r="E427" i="1"/>
  <c r="D427" i="1"/>
  <c r="L426" i="1"/>
  <c r="T426" i="1" s="1"/>
  <c r="E426" i="1"/>
  <c r="D426" i="1"/>
  <c r="L425" i="1"/>
  <c r="T425" i="1" s="1"/>
  <c r="E425" i="1"/>
  <c r="D425" i="1"/>
  <c r="L424" i="1"/>
  <c r="T424" i="1" s="1"/>
  <c r="E424" i="1"/>
  <c r="D424" i="1"/>
  <c r="L423" i="1"/>
  <c r="T423" i="1" s="1"/>
  <c r="E423" i="1"/>
  <c r="D423" i="1"/>
  <c r="L422" i="1"/>
  <c r="T422" i="1" s="1"/>
  <c r="E422" i="1"/>
  <c r="D422" i="1"/>
  <c r="L421" i="1"/>
  <c r="T421" i="1" s="1"/>
  <c r="E421" i="1"/>
  <c r="D421" i="1"/>
  <c r="L420" i="1"/>
  <c r="T420" i="1" s="1"/>
  <c r="E420" i="1"/>
  <c r="D420" i="1"/>
  <c r="L419" i="1"/>
  <c r="T419" i="1" s="1"/>
  <c r="E419" i="1"/>
  <c r="D419" i="1"/>
  <c r="L418" i="1"/>
  <c r="T418" i="1" s="1"/>
  <c r="E418" i="1"/>
  <c r="D418" i="1"/>
  <c r="L417" i="1"/>
  <c r="T417" i="1" s="1"/>
  <c r="E417" i="1"/>
  <c r="D417" i="1"/>
  <c r="L416" i="1"/>
  <c r="T416" i="1" s="1"/>
  <c r="E416" i="1"/>
  <c r="D416" i="1"/>
  <c r="L415" i="1"/>
  <c r="T415" i="1" s="1"/>
  <c r="E415" i="1"/>
  <c r="D415" i="1"/>
  <c r="L414" i="1"/>
  <c r="T414" i="1" s="1"/>
  <c r="E414" i="1"/>
  <c r="D414" i="1"/>
  <c r="L413" i="1"/>
  <c r="T413" i="1" s="1"/>
  <c r="E413" i="1"/>
  <c r="D413" i="1"/>
  <c r="L412" i="1"/>
  <c r="T412" i="1" s="1"/>
  <c r="E412" i="1"/>
  <c r="D412" i="1"/>
  <c r="L411" i="1"/>
  <c r="T411" i="1" s="1"/>
  <c r="E411" i="1"/>
  <c r="D411" i="1"/>
  <c r="L410" i="1"/>
  <c r="T410" i="1" s="1"/>
  <c r="E410" i="1"/>
  <c r="D410" i="1"/>
  <c r="L409" i="1"/>
  <c r="T409" i="1" s="1"/>
  <c r="E409" i="1"/>
  <c r="D409" i="1"/>
  <c r="L408" i="1"/>
  <c r="T408" i="1" s="1"/>
  <c r="E408" i="1"/>
  <c r="D408" i="1"/>
  <c r="L407" i="1"/>
  <c r="T407" i="1" s="1"/>
  <c r="E407" i="1"/>
  <c r="D407" i="1"/>
  <c r="L406" i="1"/>
  <c r="T406" i="1" s="1"/>
  <c r="E406" i="1"/>
  <c r="D406" i="1"/>
  <c r="L405" i="1"/>
  <c r="T405" i="1" s="1"/>
  <c r="E405" i="1"/>
  <c r="D405" i="1"/>
  <c r="L404" i="1"/>
  <c r="T404" i="1" s="1"/>
  <c r="E404" i="1"/>
  <c r="D404" i="1"/>
  <c r="L403" i="1"/>
  <c r="T403" i="1" s="1"/>
  <c r="E403" i="1"/>
  <c r="D403" i="1"/>
  <c r="L402" i="1"/>
  <c r="T402" i="1" s="1"/>
  <c r="E402" i="1"/>
  <c r="D402" i="1"/>
  <c r="L401" i="1"/>
  <c r="T401" i="1" s="1"/>
  <c r="E401" i="1"/>
  <c r="D401" i="1"/>
  <c r="L400" i="1"/>
  <c r="T400" i="1" s="1"/>
  <c r="E400" i="1"/>
  <c r="D400" i="1"/>
  <c r="L399" i="1"/>
  <c r="T399" i="1" s="1"/>
  <c r="E399" i="1"/>
  <c r="D399" i="1"/>
  <c r="L398" i="1"/>
  <c r="T398" i="1" s="1"/>
  <c r="E398" i="1"/>
  <c r="D398" i="1"/>
  <c r="L397" i="1"/>
  <c r="T397" i="1" s="1"/>
  <c r="E397" i="1"/>
  <c r="D397" i="1"/>
  <c r="L396" i="1"/>
  <c r="T396" i="1" s="1"/>
  <c r="E396" i="1"/>
  <c r="D396" i="1"/>
  <c r="L395" i="1"/>
  <c r="T395" i="1" s="1"/>
  <c r="E395" i="1"/>
  <c r="D395" i="1"/>
  <c r="L394" i="1"/>
  <c r="T394" i="1" s="1"/>
  <c r="E394" i="1"/>
  <c r="D394" i="1"/>
  <c r="L393" i="1"/>
  <c r="T393" i="1" s="1"/>
  <c r="E393" i="1"/>
  <c r="D393" i="1"/>
  <c r="L392" i="1"/>
  <c r="T392" i="1" s="1"/>
  <c r="E392" i="1"/>
  <c r="D392" i="1"/>
  <c r="L391" i="1"/>
  <c r="T391" i="1" s="1"/>
  <c r="E391" i="1"/>
  <c r="D391" i="1"/>
  <c r="L390" i="1"/>
  <c r="T390" i="1" s="1"/>
  <c r="E390" i="1"/>
  <c r="D390" i="1"/>
  <c r="L389" i="1"/>
  <c r="T389" i="1" s="1"/>
  <c r="E389" i="1"/>
  <c r="D389" i="1"/>
  <c r="L388" i="1"/>
  <c r="T388" i="1" s="1"/>
  <c r="E388" i="1"/>
  <c r="D388" i="1"/>
  <c r="L387" i="1"/>
  <c r="T387" i="1" s="1"/>
  <c r="E387" i="1"/>
  <c r="D387" i="1"/>
  <c r="L386" i="1"/>
  <c r="T386" i="1" s="1"/>
  <c r="E386" i="1"/>
  <c r="D386" i="1"/>
  <c r="L385" i="1"/>
  <c r="T385" i="1" s="1"/>
  <c r="E385" i="1"/>
  <c r="D385" i="1"/>
  <c r="L384" i="1"/>
  <c r="T384" i="1" s="1"/>
  <c r="E384" i="1"/>
  <c r="D384" i="1"/>
  <c r="L383" i="1"/>
  <c r="T383" i="1" s="1"/>
  <c r="E383" i="1"/>
  <c r="D383" i="1"/>
  <c r="L382" i="1"/>
  <c r="T382" i="1" s="1"/>
  <c r="E382" i="1"/>
  <c r="D382" i="1"/>
  <c r="L381" i="1"/>
  <c r="T381" i="1" s="1"/>
  <c r="E381" i="1"/>
  <c r="D381" i="1"/>
  <c r="L380" i="1"/>
  <c r="T380" i="1" s="1"/>
  <c r="E380" i="1"/>
  <c r="D380" i="1"/>
  <c r="L379" i="1"/>
  <c r="T379" i="1" s="1"/>
  <c r="E379" i="1"/>
  <c r="D379" i="1"/>
  <c r="L378" i="1"/>
  <c r="T378" i="1" s="1"/>
  <c r="E378" i="1"/>
  <c r="D378" i="1"/>
  <c r="L377" i="1"/>
  <c r="T377" i="1" s="1"/>
  <c r="E377" i="1"/>
  <c r="D377" i="1"/>
  <c r="L376" i="1"/>
  <c r="T376" i="1" s="1"/>
  <c r="E376" i="1"/>
  <c r="D376" i="1"/>
  <c r="L375" i="1"/>
  <c r="T375" i="1" s="1"/>
  <c r="E375" i="1"/>
  <c r="D375" i="1"/>
  <c r="L374" i="1"/>
  <c r="T374" i="1" s="1"/>
  <c r="E374" i="1"/>
  <c r="D374" i="1"/>
  <c r="L373" i="1"/>
  <c r="T373" i="1" s="1"/>
  <c r="E373" i="1"/>
  <c r="D373" i="1"/>
  <c r="L372" i="1"/>
  <c r="T372" i="1" s="1"/>
  <c r="E372" i="1"/>
  <c r="D372" i="1"/>
  <c r="L371" i="1"/>
  <c r="T371" i="1" s="1"/>
  <c r="E371" i="1"/>
  <c r="D371" i="1"/>
  <c r="L370" i="1"/>
  <c r="T370" i="1" s="1"/>
  <c r="E370" i="1"/>
  <c r="D370" i="1"/>
  <c r="L369" i="1"/>
  <c r="T369" i="1" s="1"/>
  <c r="E369" i="1"/>
  <c r="D369" i="1"/>
  <c r="L368" i="1"/>
  <c r="T368" i="1" s="1"/>
  <c r="E368" i="1"/>
  <c r="D368" i="1"/>
  <c r="L367" i="1"/>
  <c r="T367" i="1" s="1"/>
  <c r="E367" i="1"/>
  <c r="D367" i="1"/>
  <c r="L366" i="1"/>
  <c r="T366" i="1" s="1"/>
  <c r="E366" i="1"/>
  <c r="D366" i="1"/>
  <c r="L365" i="1"/>
  <c r="T365" i="1" s="1"/>
  <c r="E365" i="1"/>
  <c r="D365" i="1"/>
  <c r="L364" i="1"/>
  <c r="T364" i="1" s="1"/>
  <c r="E364" i="1"/>
  <c r="D364" i="1"/>
  <c r="L363" i="1"/>
  <c r="T363" i="1" s="1"/>
  <c r="E363" i="1"/>
  <c r="D363" i="1"/>
  <c r="L362" i="1"/>
  <c r="T362" i="1" s="1"/>
  <c r="E362" i="1"/>
  <c r="D362" i="1"/>
  <c r="L361" i="1"/>
  <c r="T361" i="1" s="1"/>
  <c r="E361" i="1"/>
  <c r="D361" i="1"/>
  <c r="L360" i="1"/>
  <c r="T360" i="1" s="1"/>
  <c r="E360" i="1"/>
  <c r="D360" i="1"/>
  <c r="L359" i="1"/>
  <c r="T359" i="1" s="1"/>
  <c r="E359" i="1"/>
  <c r="D359" i="1"/>
  <c r="L358" i="1"/>
  <c r="T358" i="1" s="1"/>
  <c r="E358" i="1"/>
  <c r="D358" i="1"/>
  <c r="L357" i="1"/>
  <c r="T357" i="1" s="1"/>
  <c r="E357" i="1"/>
  <c r="D357" i="1"/>
  <c r="L356" i="1"/>
  <c r="T356" i="1" s="1"/>
  <c r="E356" i="1"/>
  <c r="D356" i="1"/>
  <c r="L355" i="1"/>
  <c r="T355" i="1" s="1"/>
  <c r="E355" i="1"/>
  <c r="D355" i="1"/>
  <c r="L354" i="1"/>
  <c r="T354" i="1" s="1"/>
  <c r="E354" i="1"/>
  <c r="D354" i="1"/>
  <c r="L353" i="1"/>
  <c r="T353" i="1" s="1"/>
  <c r="E353" i="1"/>
  <c r="D353" i="1"/>
  <c r="L352" i="1"/>
  <c r="T352" i="1" s="1"/>
  <c r="E352" i="1"/>
  <c r="D352" i="1"/>
  <c r="L351" i="1"/>
  <c r="T351" i="1" s="1"/>
  <c r="E351" i="1"/>
  <c r="D351" i="1"/>
  <c r="L350" i="1"/>
  <c r="T350" i="1" s="1"/>
  <c r="E350" i="1"/>
  <c r="D350" i="1"/>
  <c r="L349" i="1"/>
  <c r="T349" i="1" s="1"/>
  <c r="E349" i="1"/>
  <c r="D349" i="1"/>
  <c r="L348" i="1"/>
  <c r="T348" i="1" s="1"/>
  <c r="E348" i="1"/>
  <c r="D348" i="1"/>
  <c r="L347" i="1"/>
  <c r="T347" i="1" s="1"/>
  <c r="E347" i="1"/>
  <c r="D347" i="1"/>
  <c r="L346" i="1"/>
  <c r="T346" i="1" s="1"/>
  <c r="E346" i="1"/>
  <c r="D346" i="1"/>
  <c r="L345" i="1"/>
  <c r="T345" i="1" s="1"/>
  <c r="E345" i="1"/>
  <c r="D345" i="1"/>
  <c r="L344" i="1"/>
  <c r="T344" i="1" s="1"/>
  <c r="E344" i="1"/>
  <c r="D344" i="1"/>
  <c r="L343" i="1"/>
  <c r="T343" i="1" s="1"/>
  <c r="E343" i="1"/>
  <c r="D343" i="1"/>
  <c r="L342" i="1"/>
  <c r="T342" i="1" s="1"/>
  <c r="E342" i="1"/>
  <c r="D342" i="1"/>
  <c r="L341" i="1"/>
  <c r="T341" i="1" s="1"/>
  <c r="E341" i="1"/>
  <c r="D341" i="1"/>
  <c r="L340" i="1"/>
  <c r="T340" i="1" s="1"/>
  <c r="E340" i="1"/>
  <c r="D340" i="1"/>
  <c r="L339" i="1"/>
  <c r="T339" i="1" s="1"/>
  <c r="E339" i="1"/>
  <c r="D339" i="1"/>
  <c r="L338" i="1"/>
  <c r="T338" i="1" s="1"/>
  <c r="E338" i="1"/>
  <c r="D338" i="1"/>
  <c r="L337" i="1"/>
  <c r="T337" i="1" s="1"/>
  <c r="E337" i="1"/>
  <c r="D337" i="1"/>
  <c r="L336" i="1"/>
  <c r="T336" i="1" s="1"/>
  <c r="E336" i="1"/>
  <c r="D336" i="1"/>
  <c r="L335" i="1"/>
  <c r="T335" i="1" s="1"/>
  <c r="E335" i="1"/>
  <c r="D335" i="1"/>
  <c r="L334" i="1"/>
  <c r="T334" i="1" s="1"/>
  <c r="E334" i="1"/>
  <c r="D334" i="1"/>
  <c r="L333" i="1"/>
  <c r="T333" i="1" s="1"/>
  <c r="E333" i="1"/>
  <c r="D333" i="1"/>
  <c r="L332" i="1"/>
  <c r="T332" i="1" s="1"/>
  <c r="E332" i="1"/>
  <c r="D332" i="1"/>
  <c r="L331" i="1"/>
  <c r="T331" i="1" s="1"/>
  <c r="E331" i="1"/>
  <c r="D331" i="1"/>
  <c r="L330" i="1"/>
  <c r="T330" i="1" s="1"/>
  <c r="E330" i="1"/>
  <c r="D330" i="1"/>
  <c r="L329" i="1"/>
  <c r="T329" i="1" s="1"/>
  <c r="E329" i="1"/>
  <c r="D329" i="1"/>
  <c r="L328" i="1"/>
  <c r="T328" i="1" s="1"/>
  <c r="E328" i="1"/>
  <c r="D328" i="1"/>
  <c r="L327" i="1"/>
  <c r="T327" i="1" s="1"/>
  <c r="E327" i="1"/>
  <c r="D327" i="1"/>
  <c r="L326" i="1"/>
  <c r="T326" i="1" s="1"/>
  <c r="E326" i="1"/>
  <c r="D326" i="1"/>
  <c r="L325" i="1"/>
  <c r="T325" i="1" s="1"/>
  <c r="E325" i="1"/>
  <c r="D325" i="1"/>
  <c r="L324" i="1"/>
  <c r="T324" i="1" s="1"/>
  <c r="E324" i="1"/>
  <c r="D324" i="1"/>
  <c r="L323" i="1"/>
  <c r="T323" i="1" s="1"/>
  <c r="E323" i="1"/>
  <c r="D323" i="1"/>
  <c r="L322" i="1"/>
  <c r="T322" i="1" s="1"/>
  <c r="E322" i="1"/>
  <c r="D322" i="1"/>
  <c r="L321" i="1"/>
  <c r="T321" i="1" s="1"/>
  <c r="E321" i="1"/>
  <c r="D321" i="1"/>
  <c r="L320" i="1"/>
  <c r="T320" i="1" s="1"/>
  <c r="E320" i="1"/>
  <c r="D320" i="1"/>
  <c r="L319" i="1"/>
  <c r="T319" i="1" s="1"/>
  <c r="E319" i="1"/>
  <c r="D319" i="1"/>
  <c r="L318" i="1"/>
  <c r="T318" i="1" s="1"/>
  <c r="E318" i="1"/>
  <c r="D318" i="1"/>
  <c r="L317" i="1"/>
  <c r="T317" i="1" s="1"/>
  <c r="E317" i="1"/>
  <c r="D317" i="1"/>
  <c r="L316" i="1"/>
  <c r="T316" i="1" s="1"/>
  <c r="E316" i="1"/>
  <c r="D316" i="1"/>
  <c r="L315" i="1"/>
  <c r="T315" i="1" s="1"/>
  <c r="E315" i="1"/>
  <c r="D315" i="1"/>
  <c r="L314" i="1"/>
  <c r="T314" i="1" s="1"/>
  <c r="E314" i="1"/>
  <c r="D314" i="1"/>
  <c r="L313" i="1"/>
  <c r="T313" i="1" s="1"/>
  <c r="E313" i="1"/>
  <c r="D313" i="1"/>
  <c r="L312" i="1"/>
  <c r="T312" i="1" s="1"/>
  <c r="E312" i="1"/>
  <c r="D312" i="1"/>
  <c r="L311" i="1"/>
  <c r="T311" i="1" s="1"/>
  <c r="E311" i="1"/>
  <c r="D311" i="1"/>
  <c r="L310" i="1"/>
  <c r="T310" i="1" s="1"/>
  <c r="E310" i="1"/>
  <c r="D310" i="1"/>
  <c r="L309" i="1"/>
  <c r="T309" i="1" s="1"/>
  <c r="E309" i="1"/>
  <c r="D309" i="1"/>
  <c r="L308" i="1"/>
  <c r="T308" i="1" s="1"/>
  <c r="E308" i="1"/>
  <c r="D308" i="1"/>
  <c r="L307" i="1"/>
  <c r="T307" i="1" s="1"/>
  <c r="E307" i="1"/>
  <c r="D307" i="1"/>
  <c r="L306" i="1"/>
  <c r="T306" i="1" s="1"/>
  <c r="E306" i="1"/>
  <c r="D306" i="1"/>
  <c r="L305" i="1"/>
  <c r="T305" i="1" s="1"/>
  <c r="E305" i="1"/>
  <c r="D305" i="1"/>
  <c r="L304" i="1"/>
  <c r="T304" i="1" s="1"/>
  <c r="E304" i="1"/>
  <c r="D304" i="1"/>
  <c r="L303" i="1"/>
  <c r="T303" i="1" s="1"/>
  <c r="E303" i="1"/>
  <c r="D303" i="1"/>
  <c r="L302" i="1"/>
  <c r="T302" i="1" s="1"/>
  <c r="E302" i="1"/>
  <c r="D302" i="1"/>
  <c r="L301" i="1"/>
  <c r="T301" i="1" s="1"/>
  <c r="E301" i="1"/>
  <c r="D301" i="1"/>
  <c r="L300" i="1"/>
  <c r="T300" i="1" s="1"/>
  <c r="E300" i="1"/>
  <c r="D300" i="1"/>
  <c r="L299" i="1"/>
  <c r="T299" i="1" s="1"/>
  <c r="E299" i="1"/>
  <c r="D299" i="1"/>
  <c r="L298" i="1"/>
  <c r="T298" i="1" s="1"/>
  <c r="E298" i="1"/>
  <c r="D298" i="1"/>
  <c r="L297" i="1"/>
  <c r="T297" i="1" s="1"/>
  <c r="E297" i="1"/>
  <c r="D297" i="1"/>
  <c r="L296" i="1"/>
  <c r="T296" i="1" s="1"/>
  <c r="E296" i="1"/>
  <c r="D296" i="1"/>
  <c r="L295" i="1"/>
  <c r="T295" i="1" s="1"/>
  <c r="E295" i="1"/>
  <c r="D295" i="1"/>
  <c r="L294" i="1"/>
  <c r="T294" i="1" s="1"/>
  <c r="E294" i="1"/>
  <c r="D294" i="1"/>
  <c r="L293" i="1"/>
  <c r="T293" i="1" s="1"/>
  <c r="E293" i="1"/>
  <c r="D293" i="1"/>
  <c r="L292" i="1"/>
  <c r="T292" i="1" s="1"/>
  <c r="E292" i="1"/>
  <c r="D292" i="1"/>
  <c r="L291" i="1"/>
  <c r="T291" i="1" s="1"/>
  <c r="E291" i="1"/>
  <c r="D291" i="1"/>
  <c r="L290" i="1"/>
  <c r="T290" i="1" s="1"/>
  <c r="E290" i="1"/>
  <c r="D290" i="1"/>
  <c r="L289" i="1"/>
  <c r="T289" i="1" s="1"/>
  <c r="E289" i="1"/>
  <c r="D289" i="1"/>
  <c r="L288" i="1"/>
  <c r="T288" i="1" s="1"/>
  <c r="E288" i="1"/>
  <c r="D288" i="1"/>
  <c r="L287" i="1"/>
  <c r="T287" i="1" s="1"/>
  <c r="E287" i="1"/>
  <c r="D287" i="1"/>
  <c r="L286" i="1"/>
  <c r="T286" i="1" s="1"/>
  <c r="E286" i="1"/>
  <c r="D286" i="1"/>
  <c r="L285" i="1"/>
  <c r="T285" i="1" s="1"/>
  <c r="E285" i="1"/>
  <c r="D285" i="1"/>
  <c r="L284" i="1"/>
  <c r="T284" i="1" s="1"/>
  <c r="E284" i="1"/>
  <c r="D284" i="1"/>
  <c r="L283" i="1"/>
  <c r="T283" i="1" s="1"/>
  <c r="E283" i="1"/>
  <c r="D283" i="1"/>
  <c r="L282" i="1"/>
  <c r="T282" i="1" s="1"/>
  <c r="E282" i="1"/>
  <c r="D282" i="1"/>
  <c r="L281" i="1"/>
  <c r="T281" i="1" s="1"/>
  <c r="E281" i="1"/>
  <c r="D281" i="1"/>
  <c r="L280" i="1"/>
  <c r="T280" i="1" s="1"/>
  <c r="E280" i="1"/>
  <c r="D280" i="1"/>
  <c r="L279" i="1"/>
  <c r="T279" i="1" s="1"/>
  <c r="E279" i="1"/>
  <c r="D279" i="1"/>
  <c r="L278" i="1"/>
  <c r="T278" i="1" s="1"/>
  <c r="E278" i="1"/>
  <c r="D278" i="1"/>
  <c r="L277" i="1"/>
  <c r="T277" i="1" s="1"/>
  <c r="E277" i="1"/>
  <c r="D277" i="1"/>
  <c r="L276" i="1"/>
  <c r="T276" i="1" s="1"/>
  <c r="E276" i="1"/>
  <c r="D276" i="1"/>
  <c r="L275" i="1"/>
  <c r="T275" i="1" s="1"/>
  <c r="E275" i="1"/>
  <c r="D275" i="1"/>
  <c r="L274" i="1"/>
  <c r="T274" i="1" s="1"/>
  <c r="E274" i="1"/>
  <c r="D274" i="1"/>
  <c r="L273" i="1"/>
  <c r="T273" i="1" s="1"/>
  <c r="E273" i="1"/>
  <c r="D273" i="1"/>
  <c r="L272" i="1"/>
  <c r="T272" i="1" s="1"/>
  <c r="E272" i="1"/>
  <c r="D272" i="1"/>
  <c r="L271" i="1"/>
  <c r="T271" i="1" s="1"/>
  <c r="E271" i="1"/>
  <c r="D271" i="1"/>
  <c r="L270" i="1"/>
  <c r="T270" i="1" s="1"/>
  <c r="E270" i="1"/>
  <c r="D270" i="1"/>
  <c r="L269" i="1"/>
  <c r="T269" i="1" s="1"/>
  <c r="E269" i="1"/>
  <c r="D269" i="1"/>
  <c r="L268" i="1"/>
  <c r="T268" i="1" s="1"/>
  <c r="E268" i="1"/>
  <c r="D268" i="1"/>
  <c r="L267" i="1"/>
  <c r="T267" i="1" s="1"/>
  <c r="E267" i="1"/>
  <c r="D267" i="1"/>
  <c r="L266" i="1"/>
  <c r="T266" i="1" s="1"/>
  <c r="E266" i="1"/>
  <c r="D266" i="1"/>
  <c r="L265" i="1"/>
  <c r="T265" i="1" s="1"/>
  <c r="E265" i="1"/>
  <c r="D265" i="1"/>
  <c r="L264" i="1"/>
  <c r="T264" i="1" s="1"/>
  <c r="E264" i="1"/>
  <c r="D264" i="1"/>
  <c r="L263" i="1"/>
  <c r="T263" i="1" s="1"/>
  <c r="E263" i="1"/>
  <c r="D263" i="1"/>
  <c r="L262" i="1"/>
  <c r="T262" i="1" s="1"/>
  <c r="E262" i="1"/>
  <c r="D262" i="1"/>
  <c r="L261" i="1"/>
  <c r="T261" i="1" s="1"/>
  <c r="E261" i="1"/>
  <c r="D261" i="1"/>
  <c r="L260" i="1"/>
  <c r="T260" i="1" s="1"/>
  <c r="E260" i="1"/>
  <c r="D260" i="1"/>
  <c r="L259" i="1"/>
  <c r="T259" i="1" s="1"/>
  <c r="E259" i="1"/>
  <c r="D259" i="1"/>
  <c r="L258" i="1"/>
  <c r="T258" i="1" s="1"/>
  <c r="E258" i="1"/>
  <c r="D258" i="1"/>
  <c r="L257" i="1"/>
  <c r="T257" i="1" s="1"/>
  <c r="E257" i="1"/>
  <c r="D257" i="1"/>
  <c r="L256" i="1"/>
  <c r="T256" i="1" s="1"/>
  <c r="E256" i="1"/>
  <c r="D256" i="1"/>
  <c r="L255" i="1"/>
  <c r="T255" i="1" s="1"/>
  <c r="E255" i="1"/>
  <c r="D255" i="1"/>
  <c r="L254" i="1"/>
  <c r="T254" i="1" s="1"/>
  <c r="E254" i="1"/>
  <c r="D254" i="1"/>
  <c r="L253" i="1"/>
  <c r="T253" i="1" s="1"/>
  <c r="E253" i="1"/>
  <c r="D253" i="1"/>
  <c r="L252" i="1"/>
  <c r="T252" i="1" s="1"/>
  <c r="E252" i="1"/>
  <c r="D252" i="1"/>
  <c r="L251" i="1"/>
  <c r="T251" i="1" s="1"/>
  <c r="E251" i="1"/>
  <c r="D251" i="1"/>
  <c r="L250" i="1"/>
  <c r="T250" i="1" s="1"/>
  <c r="E250" i="1"/>
  <c r="D250" i="1"/>
  <c r="L249" i="1"/>
  <c r="T249" i="1" s="1"/>
  <c r="E249" i="1"/>
  <c r="D249" i="1"/>
  <c r="L248" i="1"/>
  <c r="T248" i="1" s="1"/>
  <c r="E248" i="1"/>
  <c r="D248" i="1"/>
  <c r="L247" i="1"/>
  <c r="T247" i="1" s="1"/>
  <c r="E247" i="1"/>
  <c r="D247" i="1"/>
  <c r="L246" i="1"/>
  <c r="T246" i="1" s="1"/>
  <c r="E246" i="1"/>
  <c r="D246" i="1"/>
  <c r="L245" i="1"/>
  <c r="T245" i="1" s="1"/>
  <c r="E245" i="1"/>
  <c r="D245" i="1"/>
  <c r="L244" i="1"/>
  <c r="T244" i="1" s="1"/>
  <c r="E244" i="1"/>
  <c r="D244" i="1"/>
  <c r="L243" i="1"/>
  <c r="T243" i="1" s="1"/>
  <c r="E243" i="1"/>
  <c r="D243" i="1"/>
  <c r="L242" i="1"/>
  <c r="T242" i="1" s="1"/>
  <c r="E242" i="1"/>
  <c r="D242" i="1"/>
  <c r="L241" i="1"/>
  <c r="T241" i="1" s="1"/>
  <c r="E241" i="1"/>
  <c r="D241" i="1"/>
  <c r="L240" i="1"/>
  <c r="T240" i="1" s="1"/>
  <c r="E240" i="1"/>
  <c r="D240" i="1"/>
  <c r="L239" i="1"/>
  <c r="T239" i="1" s="1"/>
  <c r="E239" i="1"/>
  <c r="D239" i="1"/>
  <c r="L238" i="1"/>
  <c r="T238" i="1" s="1"/>
  <c r="E238" i="1"/>
  <c r="D238" i="1"/>
  <c r="L237" i="1"/>
  <c r="T237" i="1" s="1"/>
  <c r="E237" i="1"/>
  <c r="D237" i="1"/>
  <c r="L236" i="1"/>
  <c r="T236" i="1" s="1"/>
  <c r="E236" i="1"/>
  <c r="D236" i="1"/>
  <c r="L235" i="1"/>
  <c r="T235" i="1" s="1"/>
  <c r="E235" i="1"/>
  <c r="D235" i="1"/>
  <c r="L234" i="1"/>
  <c r="T234" i="1" s="1"/>
  <c r="E234" i="1"/>
  <c r="D234" i="1"/>
  <c r="L233" i="1"/>
  <c r="T233" i="1" s="1"/>
  <c r="E233" i="1"/>
  <c r="D233" i="1"/>
  <c r="L232" i="1"/>
  <c r="T232" i="1" s="1"/>
  <c r="E232" i="1"/>
  <c r="D232" i="1"/>
  <c r="L231" i="1"/>
  <c r="T231" i="1" s="1"/>
  <c r="E231" i="1"/>
  <c r="D231" i="1"/>
  <c r="L230" i="1"/>
  <c r="T230" i="1" s="1"/>
  <c r="E230" i="1"/>
  <c r="D230" i="1"/>
  <c r="L229" i="1"/>
  <c r="T229" i="1" s="1"/>
  <c r="E229" i="1"/>
  <c r="D229" i="1"/>
  <c r="L228" i="1"/>
  <c r="T228" i="1" s="1"/>
  <c r="E228" i="1"/>
  <c r="D228" i="1"/>
  <c r="L227" i="1"/>
  <c r="T227" i="1" s="1"/>
  <c r="E227" i="1"/>
  <c r="D227" i="1"/>
  <c r="L226" i="1"/>
  <c r="T226" i="1" s="1"/>
  <c r="E226" i="1"/>
  <c r="D226" i="1"/>
  <c r="L225" i="1"/>
  <c r="T225" i="1" s="1"/>
  <c r="E225" i="1"/>
  <c r="D225" i="1"/>
  <c r="L224" i="1"/>
  <c r="T224" i="1" s="1"/>
  <c r="E224" i="1"/>
  <c r="D224" i="1"/>
  <c r="L223" i="1"/>
  <c r="T223" i="1" s="1"/>
  <c r="E223" i="1"/>
  <c r="D223" i="1"/>
  <c r="L222" i="1"/>
  <c r="T222" i="1" s="1"/>
  <c r="E222" i="1"/>
  <c r="D222" i="1"/>
  <c r="L221" i="1"/>
  <c r="T221" i="1" s="1"/>
  <c r="E221" i="1"/>
  <c r="D221" i="1"/>
  <c r="L220" i="1"/>
  <c r="T220" i="1" s="1"/>
  <c r="E220" i="1"/>
  <c r="D220" i="1"/>
  <c r="L219" i="1"/>
  <c r="T219" i="1" s="1"/>
  <c r="E219" i="1"/>
  <c r="D219" i="1"/>
  <c r="L218" i="1"/>
  <c r="T218" i="1" s="1"/>
  <c r="E218" i="1"/>
  <c r="D218" i="1"/>
  <c r="L217" i="1"/>
  <c r="T217" i="1" s="1"/>
  <c r="E217" i="1"/>
  <c r="D217" i="1"/>
  <c r="L216" i="1"/>
  <c r="T216" i="1" s="1"/>
  <c r="E216" i="1"/>
  <c r="D216" i="1"/>
  <c r="L215" i="1"/>
  <c r="T215" i="1" s="1"/>
  <c r="E215" i="1"/>
  <c r="D215" i="1"/>
  <c r="L214" i="1"/>
  <c r="T214" i="1" s="1"/>
  <c r="E214" i="1"/>
  <c r="D214" i="1"/>
  <c r="L213" i="1"/>
  <c r="T213" i="1" s="1"/>
  <c r="E213" i="1"/>
  <c r="D213" i="1"/>
  <c r="L212" i="1"/>
  <c r="T212" i="1" s="1"/>
  <c r="E212" i="1"/>
  <c r="D212" i="1"/>
  <c r="L211" i="1"/>
  <c r="T211" i="1" s="1"/>
  <c r="E211" i="1"/>
  <c r="D211" i="1"/>
  <c r="L210" i="1"/>
  <c r="T210" i="1" s="1"/>
  <c r="E210" i="1"/>
  <c r="D210" i="1"/>
  <c r="L209" i="1"/>
  <c r="T209" i="1" s="1"/>
  <c r="E209" i="1"/>
  <c r="D209" i="1"/>
  <c r="L208" i="1"/>
  <c r="T208" i="1" s="1"/>
  <c r="E208" i="1"/>
  <c r="D208" i="1"/>
  <c r="L207" i="1"/>
  <c r="T207" i="1" s="1"/>
  <c r="E207" i="1"/>
  <c r="D207" i="1"/>
  <c r="L206" i="1"/>
  <c r="T206" i="1" s="1"/>
  <c r="E206" i="1"/>
  <c r="D206" i="1"/>
  <c r="L205" i="1"/>
  <c r="T205" i="1" s="1"/>
  <c r="E205" i="1"/>
  <c r="D205" i="1"/>
  <c r="L204" i="1"/>
  <c r="T204" i="1" s="1"/>
  <c r="E204" i="1"/>
  <c r="D204" i="1"/>
  <c r="L203" i="1"/>
  <c r="T203" i="1" s="1"/>
  <c r="E203" i="1"/>
  <c r="D203" i="1"/>
  <c r="L202" i="1"/>
  <c r="T202" i="1" s="1"/>
  <c r="E202" i="1"/>
  <c r="D202" i="1"/>
  <c r="L201" i="1"/>
  <c r="T201" i="1" s="1"/>
  <c r="E201" i="1"/>
  <c r="D201" i="1"/>
  <c r="L200" i="1"/>
  <c r="T200" i="1" s="1"/>
  <c r="E200" i="1"/>
  <c r="D200" i="1"/>
  <c r="L199" i="1"/>
  <c r="T199" i="1" s="1"/>
  <c r="E199" i="1"/>
  <c r="D199" i="1"/>
  <c r="L198" i="1"/>
  <c r="T198" i="1" s="1"/>
  <c r="E198" i="1"/>
  <c r="D198" i="1"/>
  <c r="L197" i="1"/>
  <c r="T197" i="1" s="1"/>
  <c r="E197" i="1"/>
  <c r="D197" i="1"/>
  <c r="L196" i="1"/>
  <c r="T196" i="1" s="1"/>
  <c r="E196" i="1"/>
  <c r="D196" i="1"/>
  <c r="L195" i="1"/>
  <c r="T195" i="1" s="1"/>
  <c r="E195" i="1"/>
  <c r="D195" i="1"/>
  <c r="L194" i="1"/>
  <c r="T194" i="1" s="1"/>
  <c r="E194" i="1"/>
  <c r="D194" i="1"/>
  <c r="L193" i="1"/>
  <c r="T193" i="1" s="1"/>
  <c r="E193" i="1"/>
  <c r="D193" i="1"/>
  <c r="L192" i="1"/>
  <c r="T192" i="1" s="1"/>
  <c r="E192" i="1"/>
  <c r="D192" i="1"/>
  <c r="L191" i="1"/>
  <c r="T191" i="1" s="1"/>
  <c r="E191" i="1"/>
  <c r="D191" i="1"/>
  <c r="L190" i="1"/>
  <c r="T190" i="1" s="1"/>
  <c r="E190" i="1"/>
  <c r="D190" i="1"/>
  <c r="L189" i="1"/>
  <c r="T189" i="1" s="1"/>
  <c r="E189" i="1"/>
  <c r="D189" i="1"/>
  <c r="L188" i="1"/>
  <c r="T188" i="1" s="1"/>
  <c r="E188" i="1"/>
  <c r="D188" i="1"/>
  <c r="L187" i="1"/>
  <c r="T187" i="1" s="1"/>
  <c r="E187" i="1"/>
  <c r="D187" i="1"/>
  <c r="L186" i="1"/>
  <c r="T186" i="1" s="1"/>
  <c r="E186" i="1"/>
  <c r="D186" i="1"/>
  <c r="L185" i="1"/>
  <c r="T185" i="1" s="1"/>
  <c r="E185" i="1"/>
  <c r="D185" i="1"/>
  <c r="L184" i="1"/>
  <c r="T184" i="1" s="1"/>
  <c r="E184" i="1"/>
  <c r="D184" i="1"/>
  <c r="L183" i="1"/>
  <c r="T183" i="1" s="1"/>
  <c r="E183" i="1"/>
  <c r="D183" i="1"/>
  <c r="L182" i="1"/>
  <c r="T182" i="1" s="1"/>
  <c r="E182" i="1"/>
  <c r="D182" i="1"/>
  <c r="L181" i="1"/>
  <c r="T181" i="1" s="1"/>
  <c r="E181" i="1"/>
  <c r="D181" i="1"/>
  <c r="L180" i="1"/>
  <c r="T180" i="1" s="1"/>
  <c r="E180" i="1"/>
  <c r="D180" i="1"/>
  <c r="L179" i="1"/>
  <c r="T179" i="1" s="1"/>
  <c r="E179" i="1"/>
  <c r="D179" i="1"/>
  <c r="L178" i="1"/>
  <c r="T178" i="1" s="1"/>
  <c r="E178" i="1"/>
  <c r="D178" i="1"/>
  <c r="L177" i="1"/>
  <c r="T177" i="1" s="1"/>
  <c r="E177" i="1"/>
  <c r="D177" i="1"/>
  <c r="L176" i="1"/>
  <c r="T176" i="1" s="1"/>
  <c r="E176" i="1"/>
  <c r="D176" i="1"/>
  <c r="L175" i="1"/>
  <c r="T175" i="1" s="1"/>
  <c r="E175" i="1"/>
  <c r="D175" i="1"/>
  <c r="L174" i="1"/>
  <c r="T174" i="1" s="1"/>
  <c r="E174" i="1"/>
  <c r="D174" i="1"/>
  <c r="L173" i="1"/>
  <c r="T173" i="1" s="1"/>
  <c r="E173" i="1"/>
  <c r="D173" i="1"/>
  <c r="L172" i="1"/>
  <c r="T172" i="1" s="1"/>
  <c r="E172" i="1"/>
  <c r="D172" i="1"/>
  <c r="L171" i="1"/>
  <c r="T171" i="1" s="1"/>
  <c r="E171" i="1"/>
  <c r="D171" i="1"/>
  <c r="L170" i="1"/>
  <c r="T170" i="1" s="1"/>
  <c r="E170" i="1"/>
  <c r="D170" i="1"/>
  <c r="L169" i="1"/>
  <c r="T169" i="1" s="1"/>
  <c r="E169" i="1"/>
  <c r="D169" i="1"/>
  <c r="L168" i="1"/>
  <c r="T168" i="1" s="1"/>
  <c r="E168" i="1"/>
  <c r="D168" i="1"/>
  <c r="L167" i="1"/>
  <c r="T167" i="1" s="1"/>
  <c r="E167" i="1"/>
  <c r="D167" i="1"/>
  <c r="L166" i="1"/>
  <c r="T166" i="1" s="1"/>
  <c r="E166" i="1"/>
  <c r="D166" i="1"/>
  <c r="L165" i="1"/>
  <c r="T165" i="1" s="1"/>
  <c r="E165" i="1"/>
  <c r="D165" i="1"/>
  <c r="L164" i="1"/>
  <c r="T164" i="1" s="1"/>
  <c r="E164" i="1"/>
  <c r="D164" i="1"/>
  <c r="L163" i="1"/>
  <c r="T163" i="1" s="1"/>
  <c r="E163" i="1"/>
  <c r="D163" i="1"/>
  <c r="L162" i="1"/>
  <c r="T162" i="1" s="1"/>
  <c r="E162" i="1"/>
  <c r="D162" i="1"/>
  <c r="L161" i="1"/>
  <c r="T161" i="1" s="1"/>
  <c r="E161" i="1"/>
  <c r="D161" i="1"/>
  <c r="L160" i="1"/>
  <c r="T160" i="1" s="1"/>
  <c r="E160" i="1"/>
  <c r="D160" i="1"/>
  <c r="L159" i="1"/>
  <c r="T159" i="1" s="1"/>
  <c r="E159" i="1"/>
  <c r="D159" i="1"/>
  <c r="L158" i="1"/>
  <c r="T158" i="1" s="1"/>
  <c r="E158" i="1"/>
  <c r="D158" i="1"/>
  <c r="L157" i="1"/>
  <c r="T157" i="1" s="1"/>
  <c r="E157" i="1"/>
  <c r="D157" i="1"/>
  <c r="L156" i="1"/>
  <c r="T156" i="1" s="1"/>
  <c r="E156" i="1"/>
  <c r="D156" i="1"/>
  <c r="L155" i="1"/>
  <c r="T155" i="1" s="1"/>
  <c r="E155" i="1"/>
  <c r="D155" i="1"/>
  <c r="L154" i="1"/>
  <c r="T154" i="1" s="1"/>
  <c r="E154" i="1"/>
  <c r="D154" i="1"/>
  <c r="L153" i="1"/>
  <c r="T153" i="1" s="1"/>
  <c r="E153" i="1"/>
  <c r="D153" i="1"/>
  <c r="L152" i="1"/>
  <c r="T152" i="1" s="1"/>
  <c r="E152" i="1"/>
  <c r="D152" i="1"/>
  <c r="L151" i="1"/>
  <c r="T151" i="1" s="1"/>
  <c r="E151" i="1"/>
  <c r="D151" i="1"/>
  <c r="L150" i="1"/>
  <c r="T150" i="1" s="1"/>
  <c r="E150" i="1"/>
  <c r="D150" i="1"/>
  <c r="L149" i="1"/>
  <c r="T149" i="1" s="1"/>
  <c r="E149" i="1"/>
  <c r="D149" i="1"/>
  <c r="L148" i="1"/>
  <c r="T148" i="1" s="1"/>
  <c r="E148" i="1"/>
  <c r="D148" i="1"/>
  <c r="L147" i="1"/>
  <c r="T147" i="1" s="1"/>
  <c r="E147" i="1"/>
  <c r="D147" i="1"/>
  <c r="L146" i="1"/>
  <c r="T146" i="1" s="1"/>
  <c r="E146" i="1"/>
  <c r="D146" i="1"/>
  <c r="L145" i="1"/>
  <c r="T145" i="1" s="1"/>
  <c r="E145" i="1"/>
  <c r="D145" i="1"/>
  <c r="L144" i="1"/>
  <c r="T144" i="1" s="1"/>
  <c r="E144" i="1"/>
  <c r="D144" i="1"/>
  <c r="L143" i="1"/>
  <c r="T143" i="1" s="1"/>
  <c r="E143" i="1"/>
  <c r="D143" i="1"/>
  <c r="L142" i="1"/>
  <c r="T142" i="1" s="1"/>
  <c r="E142" i="1"/>
  <c r="D142" i="1"/>
  <c r="L141" i="1"/>
  <c r="T141" i="1" s="1"/>
  <c r="E141" i="1"/>
  <c r="D141" i="1"/>
  <c r="L140" i="1"/>
  <c r="T140" i="1" s="1"/>
  <c r="E140" i="1"/>
  <c r="D140" i="1"/>
  <c r="L139" i="1"/>
  <c r="T139" i="1" s="1"/>
  <c r="E139" i="1"/>
  <c r="D139" i="1"/>
  <c r="L138" i="1"/>
  <c r="T138" i="1" s="1"/>
  <c r="E138" i="1"/>
  <c r="D138" i="1"/>
  <c r="L137" i="1"/>
  <c r="T137" i="1" s="1"/>
  <c r="E137" i="1"/>
  <c r="D137" i="1"/>
  <c r="L136" i="1"/>
  <c r="T136" i="1" s="1"/>
  <c r="E136" i="1"/>
  <c r="D136" i="1"/>
  <c r="L135" i="1"/>
  <c r="T135" i="1" s="1"/>
  <c r="E135" i="1"/>
  <c r="D135" i="1"/>
  <c r="L134" i="1"/>
  <c r="T134" i="1" s="1"/>
  <c r="E134" i="1"/>
  <c r="D134" i="1"/>
  <c r="L133" i="1"/>
  <c r="T133" i="1" s="1"/>
  <c r="E133" i="1"/>
  <c r="D133" i="1"/>
  <c r="L132" i="1"/>
  <c r="T132" i="1" s="1"/>
  <c r="E132" i="1"/>
  <c r="D132" i="1"/>
  <c r="L131" i="1"/>
  <c r="T131" i="1" s="1"/>
  <c r="E131" i="1"/>
  <c r="D131" i="1"/>
  <c r="L130" i="1"/>
  <c r="T130" i="1" s="1"/>
  <c r="E130" i="1"/>
  <c r="D130" i="1"/>
  <c r="L129" i="1"/>
  <c r="T129" i="1" s="1"/>
  <c r="E129" i="1"/>
  <c r="D129" i="1"/>
  <c r="L128" i="1"/>
  <c r="T128" i="1" s="1"/>
  <c r="E128" i="1"/>
  <c r="D128" i="1"/>
  <c r="L127" i="1"/>
  <c r="T127" i="1" s="1"/>
  <c r="E127" i="1"/>
  <c r="D127" i="1"/>
  <c r="L126" i="1"/>
  <c r="T126" i="1" s="1"/>
  <c r="E126" i="1"/>
  <c r="D126" i="1"/>
  <c r="L125" i="1"/>
  <c r="T125" i="1" s="1"/>
  <c r="E125" i="1"/>
  <c r="D125" i="1"/>
  <c r="L124" i="1"/>
  <c r="T124" i="1" s="1"/>
  <c r="E124" i="1"/>
  <c r="D124" i="1"/>
  <c r="L123" i="1"/>
  <c r="T123" i="1" s="1"/>
  <c r="E123" i="1"/>
  <c r="D123" i="1"/>
  <c r="L122" i="1"/>
  <c r="T122" i="1" s="1"/>
  <c r="E122" i="1"/>
  <c r="D122" i="1"/>
  <c r="L121" i="1"/>
  <c r="T121" i="1" s="1"/>
  <c r="E121" i="1"/>
  <c r="D121" i="1"/>
  <c r="L120" i="1"/>
  <c r="T120" i="1" s="1"/>
  <c r="E120" i="1"/>
  <c r="D120" i="1"/>
  <c r="L119" i="1"/>
  <c r="T119" i="1" s="1"/>
  <c r="E119" i="1"/>
  <c r="D119" i="1"/>
  <c r="L118" i="1"/>
  <c r="T118" i="1" s="1"/>
  <c r="E118" i="1"/>
  <c r="D118" i="1"/>
  <c r="L117" i="1"/>
  <c r="T117" i="1" s="1"/>
  <c r="E117" i="1"/>
  <c r="D117" i="1"/>
  <c r="L116" i="1"/>
  <c r="T116" i="1" s="1"/>
  <c r="E116" i="1"/>
  <c r="D116" i="1"/>
  <c r="L115" i="1"/>
  <c r="T115" i="1" s="1"/>
  <c r="E115" i="1"/>
  <c r="D115" i="1"/>
  <c r="L114" i="1"/>
  <c r="T114" i="1" s="1"/>
  <c r="E114" i="1"/>
  <c r="D114" i="1"/>
  <c r="L113" i="1"/>
  <c r="T113" i="1" s="1"/>
  <c r="E113" i="1"/>
  <c r="D113" i="1"/>
  <c r="L112" i="1"/>
  <c r="T112" i="1" s="1"/>
  <c r="E112" i="1"/>
  <c r="D112" i="1"/>
  <c r="L111" i="1"/>
  <c r="T111" i="1" s="1"/>
  <c r="E111" i="1"/>
  <c r="D111" i="1"/>
  <c r="L110" i="1"/>
  <c r="T110" i="1" s="1"/>
  <c r="E110" i="1"/>
  <c r="D110" i="1"/>
  <c r="L109" i="1"/>
  <c r="T109" i="1" s="1"/>
  <c r="E109" i="1"/>
  <c r="D109" i="1"/>
  <c r="L108" i="1"/>
  <c r="T108" i="1" s="1"/>
  <c r="E108" i="1"/>
  <c r="D108" i="1"/>
  <c r="L107" i="1"/>
  <c r="T107" i="1" s="1"/>
  <c r="E107" i="1"/>
  <c r="D107" i="1"/>
  <c r="L106" i="1"/>
  <c r="T106" i="1" s="1"/>
  <c r="E106" i="1"/>
  <c r="D106" i="1"/>
  <c r="L105" i="1"/>
  <c r="T105" i="1" s="1"/>
  <c r="E105" i="1"/>
  <c r="D105" i="1"/>
  <c r="L104" i="1"/>
  <c r="T104" i="1" s="1"/>
  <c r="E104" i="1"/>
  <c r="D104" i="1"/>
  <c r="L103" i="1"/>
  <c r="T103" i="1" s="1"/>
  <c r="E103" i="1"/>
  <c r="D103" i="1"/>
  <c r="L102" i="1"/>
  <c r="T102" i="1" s="1"/>
  <c r="E102" i="1"/>
  <c r="D102" i="1"/>
  <c r="L101" i="1"/>
  <c r="T101" i="1" s="1"/>
  <c r="E101" i="1"/>
  <c r="D101" i="1"/>
  <c r="L100" i="1"/>
  <c r="T100" i="1" s="1"/>
  <c r="E100" i="1"/>
  <c r="D100" i="1"/>
  <c r="L99" i="1"/>
  <c r="T99" i="1" s="1"/>
  <c r="E99" i="1"/>
  <c r="D99" i="1"/>
  <c r="L98" i="1"/>
  <c r="T98" i="1" s="1"/>
  <c r="E98" i="1"/>
  <c r="D98" i="1"/>
  <c r="L97" i="1"/>
  <c r="T97" i="1" s="1"/>
  <c r="E97" i="1"/>
  <c r="D97" i="1"/>
  <c r="L96" i="1"/>
  <c r="T96" i="1" s="1"/>
  <c r="E96" i="1"/>
  <c r="D96" i="1"/>
  <c r="L95" i="1"/>
  <c r="T95" i="1" s="1"/>
  <c r="E95" i="1"/>
  <c r="D95" i="1"/>
  <c r="L94" i="1"/>
  <c r="T94" i="1" s="1"/>
  <c r="E94" i="1"/>
  <c r="D94" i="1"/>
  <c r="L93" i="1"/>
  <c r="T93" i="1" s="1"/>
  <c r="E93" i="1"/>
  <c r="D93" i="1"/>
  <c r="L92" i="1"/>
  <c r="T92" i="1" s="1"/>
  <c r="E92" i="1"/>
  <c r="D92" i="1"/>
  <c r="L91" i="1"/>
  <c r="T91" i="1" s="1"/>
  <c r="E91" i="1"/>
  <c r="D91" i="1"/>
  <c r="L90" i="1"/>
  <c r="T90" i="1" s="1"/>
  <c r="E90" i="1"/>
  <c r="D90" i="1"/>
  <c r="L89" i="1"/>
  <c r="T89" i="1" s="1"/>
  <c r="E89" i="1"/>
  <c r="D89" i="1"/>
  <c r="L88" i="1"/>
  <c r="T88" i="1" s="1"/>
  <c r="E88" i="1"/>
  <c r="D88" i="1"/>
  <c r="L87" i="1"/>
  <c r="T87" i="1" s="1"/>
  <c r="E87" i="1"/>
  <c r="D87" i="1"/>
  <c r="L86" i="1"/>
  <c r="T86" i="1" s="1"/>
  <c r="E86" i="1"/>
  <c r="D86" i="1"/>
  <c r="L85" i="1"/>
  <c r="T85" i="1" s="1"/>
  <c r="E85" i="1"/>
  <c r="D85" i="1"/>
  <c r="L84" i="1"/>
  <c r="T84" i="1" s="1"/>
  <c r="E84" i="1"/>
  <c r="D84" i="1"/>
  <c r="L83" i="1"/>
  <c r="T83" i="1" s="1"/>
  <c r="E83" i="1"/>
  <c r="D83" i="1"/>
  <c r="L82" i="1"/>
  <c r="T82" i="1" s="1"/>
  <c r="E82" i="1"/>
  <c r="D82" i="1"/>
  <c r="L81" i="1"/>
  <c r="T81" i="1" s="1"/>
  <c r="E81" i="1"/>
  <c r="D81" i="1"/>
  <c r="L80" i="1"/>
  <c r="T80" i="1" s="1"/>
  <c r="E80" i="1"/>
  <c r="D80" i="1"/>
  <c r="L79" i="1"/>
  <c r="T79" i="1" s="1"/>
  <c r="E79" i="1"/>
  <c r="D79" i="1"/>
  <c r="L78" i="1"/>
  <c r="T78" i="1" s="1"/>
  <c r="E78" i="1"/>
  <c r="D78" i="1"/>
  <c r="L77" i="1"/>
  <c r="T77" i="1" s="1"/>
  <c r="E77" i="1"/>
  <c r="D77" i="1"/>
  <c r="L76" i="1"/>
  <c r="T76" i="1" s="1"/>
  <c r="E76" i="1"/>
  <c r="D76" i="1"/>
  <c r="L75" i="1"/>
  <c r="T75" i="1" s="1"/>
  <c r="E75" i="1"/>
  <c r="D75" i="1"/>
  <c r="L74" i="1"/>
  <c r="T74" i="1" s="1"/>
  <c r="E74" i="1"/>
  <c r="D74" i="1"/>
  <c r="L73" i="1"/>
  <c r="T73" i="1" s="1"/>
  <c r="E73" i="1"/>
  <c r="D73" i="1"/>
  <c r="L72" i="1"/>
  <c r="T72" i="1" s="1"/>
  <c r="E72" i="1"/>
  <c r="D72" i="1"/>
  <c r="L71" i="1"/>
  <c r="T71" i="1" s="1"/>
  <c r="E71" i="1"/>
  <c r="D71" i="1"/>
  <c r="L70" i="1"/>
  <c r="T70" i="1" s="1"/>
  <c r="E70" i="1"/>
  <c r="D70" i="1"/>
  <c r="L69" i="1"/>
  <c r="T69" i="1" s="1"/>
  <c r="E69" i="1"/>
  <c r="D69" i="1"/>
  <c r="L68" i="1"/>
  <c r="T68" i="1" s="1"/>
  <c r="E68" i="1"/>
  <c r="D68" i="1"/>
  <c r="L67" i="1"/>
  <c r="T67" i="1" s="1"/>
  <c r="E67" i="1"/>
  <c r="D67" i="1"/>
  <c r="L66" i="1"/>
  <c r="T66" i="1" s="1"/>
  <c r="E66" i="1"/>
  <c r="D66" i="1"/>
  <c r="L65" i="1"/>
  <c r="T65" i="1" s="1"/>
  <c r="E65" i="1"/>
  <c r="D65" i="1"/>
  <c r="L64" i="1"/>
  <c r="T64" i="1" s="1"/>
  <c r="E64" i="1"/>
  <c r="D64" i="1"/>
  <c r="L63" i="1"/>
  <c r="T63" i="1" s="1"/>
  <c r="E63" i="1"/>
  <c r="D63" i="1"/>
  <c r="L62" i="1"/>
  <c r="T62" i="1" s="1"/>
  <c r="E62" i="1"/>
  <c r="D62" i="1"/>
  <c r="L61" i="1"/>
  <c r="T61" i="1" s="1"/>
  <c r="E61" i="1"/>
  <c r="D61" i="1"/>
  <c r="L60" i="1"/>
  <c r="T60" i="1" s="1"/>
  <c r="E60" i="1"/>
  <c r="D60" i="1"/>
  <c r="L59" i="1"/>
  <c r="T59" i="1" s="1"/>
  <c r="E59" i="1"/>
  <c r="D59" i="1"/>
  <c r="L58" i="1"/>
  <c r="T58" i="1" s="1"/>
  <c r="E58" i="1"/>
  <c r="D58" i="1"/>
  <c r="L57" i="1"/>
  <c r="T57" i="1" s="1"/>
  <c r="E57" i="1"/>
  <c r="D57" i="1"/>
  <c r="L56" i="1"/>
  <c r="T56" i="1" s="1"/>
  <c r="E56" i="1"/>
  <c r="D56" i="1"/>
  <c r="L55" i="1"/>
  <c r="T55" i="1" s="1"/>
  <c r="E55" i="1"/>
  <c r="D55" i="1"/>
  <c r="L54" i="1"/>
  <c r="T54" i="1" s="1"/>
  <c r="E54" i="1"/>
  <c r="D54" i="1"/>
  <c r="L53" i="1"/>
  <c r="T53" i="1" s="1"/>
  <c r="E53" i="1"/>
  <c r="D53" i="1"/>
  <c r="T52" i="1"/>
  <c r="E52" i="1"/>
  <c r="D52" i="1"/>
  <c r="T51" i="1"/>
  <c r="E51" i="1"/>
  <c r="D51" i="1"/>
  <c r="T50" i="1"/>
  <c r="E50" i="1"/>
  <c r="D50" i="1"/>
  <c r="T49" i="1"/>
  <c r="E49" i="1"/>
  <c r="D49" i="1"/>
  <c r="T48" i="1"/>
  <c r="E48" i="1"/>
  <c r="D48" i="1"/>
  <c r="T47" i="1"/>
  <c r="E47" i="1"/>
  <c r="D47" i="1"/>
  <c r="T46" i="1"/>
  <c r="E46" i="1"/>
  <c r="D46" i="1"/>
  <c r="T45" i="1"/>
  <c r="E45" i="1"/>
  <c r="D45" i="1"/>
  <c r="T44" i="1"/>
  <c r="E44" i="1"/>
  <c r="D44" i="1"/>
  <c r="T43" i="1"/>
  <c r="E43" i="1"/>
  <c r="D43" i="1"/>
  <c r="T42" i="1"/>
  <c r="E42" i="1"/>
  <c r="D42" i="1"/>
  <c r="T41" i="1"/>
  <c r="E41" i="1"/>
  <c r="D41" i="1"/>
  <c r="T40" i="1"/>
  <c r="E40" i="1"/>
  <c r="D40" i="1"/>
  <c r="T39" i="1"/>
  <c r="E39" i="1"/>
  <c r="D39" i="1"/>
  <c r="T38" i="1"/>
  <c r="E38" i="1"/>
  <c r="D38" i="1"/>
  <c r="T37" i="1"/>
  <c r="E37" i="1"/>
  <c r="D37" i="1"/>
  <c r="T36" i="1"/>
  <c r="E36" i="1"/>
  <c r="D36" i="1"/>
  <c r="T35" i="1"/>
  <c r="E35" i="1"/>
  <c r="D35" i="1"/>
  <c r="T34" i="1"/>
  <c r="E34" i="1"/>
  <c r="D34" i="1"/>
  <c r="T33" i="1"/>
  <c r="E33" i="1"/>
  <c r="D33" i="1"/>
  <c r="T32" i="1"/>
  <c r="E32" i="1"/>
  <c r="D32" i="1"/>
  <c r="T31" i="1"/>
  <c r="E31" i="1"/>
  <c r="D31" i="1"/>
  <c r="T30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L3" i="1"/>
  <c r="E3" i="1"/>
  <c r="D3" i="1"/>
  <c r="L2" i="1"/>
  <c r="C35" i="2" s="1"/>
  <c r="E2" i="1"/>
  <c r="D2" i="1"/>
  <c r="B4" i="2" l="1"/>
  <c r="C31" i="2"/>
  <c r="B10" i="2"/>
  <c r="D19" i="2"/>
  <c r="C19" i="2"/>
  <c r="B19" i="2"/>
  <c r="C36" i="2"/>
  <c r="C30" i="2"/>
  <c r="C18" i="2"/>
  <c r="D18" i="2"/>
  <c r="B18" i="2"/>
  <c r="B11" i="2"/>
  <c r="C32" i="2"/>
  <c r="B14" i="2"/>
  <c r="B17" i="2"/>
  <c r="B6" i="2"/>
  <c r="C17" i="2"/>
  <c r="D17" i="2"/>
  <c r="C33" i="2"/>
  <c r="T2" i="1"/>
  <c r="B5" i="2"/>
  <c r="B9" i="2" s="1"/>
  <c r="T3" i="1" l="1"/>
  <c r="T4" i="1" s="1"/>
  <c r="T5" i="1" s="1"/>
  <c r="T6" i="1" s="1"/>
  <c r="T7" i="1" s="1"/>
  <c r="T8" i="1" s="1"/>
  <c r="T9" i="1" l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B13" i="2"/>
  <c r="B15" i="2" l="1"/>
</calcChain>
</file>

<file path=xl/sharedStrings.xml><?xml version="1.0" encoding="utf-8"?>
<sst xmlns="http://schemas.openxmlformats.org/spreadsheetml/2006/main" count="113" uniqueCount="92">
  <si>
    <t>Coppia / Cross</t>
  </si>
  <si>
    <t>Data</t>
  </si>
  <si>
    <t>Orario</t>
  </si>
  <si>
    <t>Mese</t>
  </si>
  <si>
    <t>Giorno settimana</t>
  </si>
  <si>
    <t>Direzione</t>
  </si>
  <si>
    <t>RISCHIO %</t>
  </si>
  <si>
    <t>RR FINALE 1:</t>
  </si>
  <si>
    <t>Pips tp</t>
  </si>
  <si>
    <t>Pips stop loss</t>
  </si>
  <si>
    <t>Risultato</t>
  </si>
  <si>
    <t>Risultato %</t>
  </si>
  <si>
    <t>Risultato valuta</t>
  </si>
  <si>
    <t>Tf d'entrata</t>
  </si>
  <si>
    <t>SCREEN PRE</t>
  </si>
  <si>
    <t>SCREEN POST</t>
  </si>
  <si>
    <t>note</t>
  </si>
  <si>
    <t>PRO</t>
  </si>
  <si>
    <t>CONTRO</t>
  </si>
  <si>
    <t>EquityCurve</t>
  </si>
  <si>
    <t>Emozioni</t>
  </si>
  <si>
    <t>EURJPY</t>
  </si>
  <si>
    <t>Long</t>
  </si>
  <si>
    <t>Stop Loss</t>
  </si>
  <si>
    <t>fiducioso</t>
  </si>
  <si>
    <t>AUDUSD</t>
  </si>
  <si>
    <t>Target</t>
  </si>
  <si>
    <t>calma</t>
  </si>
  <si>
    <t>GBPUSD</t>
  </si>
  <si>
    <t>EURUSD</t>
  </si>
  <si>
    <t>impaziente</t>
  </si>
  <si>
    <t>GBPJPY</t>
  </si>
  <si>
    <t>Breakeven</t>
  </si>
  <si>
    <t>Short</t>
  </si>
  <si>
    <t>ansia</t>
  </si>
  <si>
    <t>USDJPY</t>
  </si>
  <si>
    <t>USDCAD</t>
  </si>
  <si>
    <t>stress</t>
  </si>
  <si>
    <t>Tot operazioni</t>
  </si>
  <si>
    <t>Media % Realizzata</t>
  </si>
  <si>
    <t>Long Totali</t>
  </si>
  <si>
    <t>Short Totali</t>
  </si>
  <si>
    <t>Win Rate</t>
  </si>
  <si>
    <t>Media Target</t>
  </si>
  <si>
    <t>Media Stop Loss</t>
  </si>
  <si>
    <t>RR MEDIO</t>
  </si>
  <si>
    <t>Equity Totale</t>
  </si>
  <si>
    <t>Profit Factor</t>
  </si>
  <si>
    <t>DD Max</t>
  </si>
  <si>
    <t>Numero Operazioni</t>
  </si>
  <si>
    <t>Risultato Medio %</t>
  </si>
  <si>
    <t>Emozione</t>
  </si>
  <si>
    <t>Numero</t>
  </si>
  <si>
    <t>paura</t>
  </si>
  <si>
    <t>sicuro</t>
  </si>
  <si>
    <t>Colonna1</t>
  </si>
  <si>
    <t>Etichette di riga</t>
  </si>
  <si>
    <t>Conteggio di Risultato</t>
  </si>
  <si>
    <t>Etichette di colonna</t>
  </si>
  <si>
    <t>Win rate%</t>
  </si>
  <si>
    <t>XAUUSD</t>
  </si>
  <si>
    <t>XAGUSD</t>
  </si>
  <si>
    <t>CADJPY</t>
  </si>
  <si>
    <t>Totale</t>
  </si>
  <si>
    <t>06</t>
  </si>
  <si>
    <t>07</t>
  </si>
  <si>
    <t>08</t>
  </si>
  <si>
    <t>11</t>
  </si>
  <si>
    <t>16</t>
  </si>
  <si>
    <t>20</t>
  </si>
  <si>
    <t>23</t>
  </si>
  <si>
    <t>m5</t>
  </si>
  <si>
    <t>barrier con target o stop loss</t>
  </si>
  <si>
    <t>Tf allineati</t>
  </si>
  <si>
    <t>Cot report</t>
  </si>
  <si>
    <t>% Sentiment</t>
  </si>
  <si>
    <t>Setup</t>
  </si>
  <si>
    <t>d1</t>
  </si>
  <si>
    <t>h4</t>
  </si>
  <si>
    <t>m15</t>
  </si>
  <si>
    <t>m30</t>
  </si>
  <si>
    <t>h1</t>
  </si>
  <si>
    <t>Win</t>
  </si>
  <si>
    <t>sharpe ratio</t>
  </si>
  <si>
    <t>conferme</t>
  </si>
  <si>
    <t>andamento non fillati</t>
  </si>
  <si>
    <t>devation standard</t>
  </si>
  <si>
    <t>expectancy</t>
  </si>
  <si>
    <t>colonne con colore diverso da non modificare, si autocompilano</t>
  </si>
  <si>
    <t xml:space="preserve">m1 barrier </t>
  </si>
  <si>
    <t>https://www.tradingview.com/x/B0kTAu4P/ https://www.tradingview.com/x/B0kTAu4P/</t>
  </si>
  <si>
    <t>asiatica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</si>
</sst>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0]d\-mmm;@"/>
    <numFmt numFmtId="165" formatCode="[$-F400]h:mm:ss\ AM/PM"/>
    <numFmt numFmtId="166" formatCode="_-[$€-2]\ * #,##0.00_-;\-[$€-2]\ * #,##0.00_-;_-[$€-2]\ * &quot;-&quot;??_-;_-@_-"/>
    <numFmt numFmtId="167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</font>
    <font>
      <b/>
      <sz val="11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b/>
      <u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ashDot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9" fontId="6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55">
    <xf numFmtId="0" fontId="0" fillId="0" borderId="0" xfId="0"/>
    <xf numFmtId="10" fontId="0" fillId="0" borderId="0" xfId="0" applyNumberFormat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2" fontId="0" fillId="0" borderId="0" xfId="0" applyNumberFormat="1"/>
    <xf numFmtId="165" fontId="0" fillId="0" borderId="0" xfId="0" applyNumberFormat="1"/>
    <xf numFmtId="165" fontId="0" fillId="0" borderId="0" xfId="0" applyNumberFormat="1" applyProtection="1">
      <protection locked="0"/>
    </xf>
    <xf numFmtId="166" fontId="0" fillId="0" borderId="0" xfId="0" applyNumberFormat="1"/>
    <xf numFmtId="166" fontId="0" fillId="0" borderId="0" xfId="0" applyNumberFormat="1" applyProtection="1"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164" fontId="1" fillId="3" borderId="1" xfId="0" applyNumberFormat="1" applyFont="1" applyFill="1" applyBorder="1" applyAlignment="1" applyProtection="1">
      <alignment horizontal="center" vertical="center"/>
      <protection locked="0"/>
    </xf>
    <xf numFmtId="165" fontId="1" fillId="3" borderId="1" xfId="0" applyNumberFormat="1" applyFont="1" applyFill="1" applyBorder="1" applyAlignment="1" applyProtection="1">
      <alignment horizontal="center" vertical="center"/>
      <protection locked="0"/>
    </xf>
    <xf numFmtId="10" fontId="1" fillId="3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0" xfId="1" applyFill="1"/>
    <xf numFmtId="9" fontId="0" fillId="0" borderId="0" xfId="2" applyFont="1" applyFill="1"/>
    <xf numFmtId="0" fontId="7" fillId="0" borderId="0" xfId="0" applyFont="1"/>
    <xf numFmtId="0" fontId="1" fillId="3" borderId="5" xfId="0" applyFont="1" applyFill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 applyProtection="1">
      <alignment horizontal="center" vertical="center"/>
      <protection locked="0"/>
    </xf>
    <xf numFmtId="167" fontId="8" fillId="0" borderId="0" xfId="2" applyNumberFormat="1" applyFont="1" applyFill="1" applyBorder="1"/>
    <xf numFmtId="167" fontId="0" fillId="0" borderId="0" xfId="2" applyNumberFormat="1" applyFont="1" applyFill="1" applyBorder="1"/>
    <xf numFmtId="0" fontId="0" fillId="4" borderId="0" xfId="0" applyFill="1"/>
    <xf numFmtId="0" fontId="7" fillId="0" borderId="4" xfId="0" applyFont="1" applyBorder="1"/>
    <xf numFmtId="0" fontId="0" fillId="0" borderId="7" xfId="0" applyBorder="1"/>
    <xf numFmtId="0" fontId="7" fillId="0" borderId="8" xfId="0" applyFont="1" applyBorder="1"/>
    <xf numFmtId="0" fontId="0" fillId="0" borderId="6" xfId="0" applyBorder="1"/>
    <xf numFmtId="0" fontId="3" fillId="0" borderId="1" xfId="0" applyFont="1" applyBorder="1"/>
    <xf numFmtId="1" fontId="5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0" fillId="0" borderId="3" xfId="0" applyBorder="1"/>
    <xf numFmtId="0" fontId="7" fillId="0" borderId="2" xfId="0" applyFont="1" applyBorder="1"/>
    <xf numFmtId="0" fontId="0" fillId="0" borderId="0" xfId="0" applyAlignment="1">
      <alignment horizontal="left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/>
    <xf numFmtId="1" fontId="0" fillId="0" borderId="0" xfId="0" applyNumberFormat="1"/>
    <xf numFmtId="10" fontId="0" fillId="4" borderId="0" xfId="0" applyNumberFormat="1" applyFill="1"/>
    <xf numFmtId="0" fontId="0" fillId="5" borderId="0" xfId="0" applyFill="1"/>
    <xf numFmtId="10" fontId="0" fillId="5" borderId="0" xfId="0" applyNumberFormat="1" applyFill="1"/>
    <xf numFmtId="10" fontId="1" fillId="5" borderId="0" xfId="0" applyNumberFormat="1" applyFont="1" applyFill="1" applyAlignment="1">
      <alignment horizontal="center" vertical="center"/>
    </xf>
    <xf numFmtId="166" fontId="1" fillId="6" borderId="1" xfId="0" applyNumberFormat="1" applyFont="1" applyFill="1" applyBorder="1" applyAlignment="1" applyProtection="1">
      <alignment horizontal="center" vertical="center"/>
      <protection locked="0"/>
    </xf>
    <xf numFmtId="10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0" xfId="0" applyFill="1" applyProtection="1">
      <protection locked="0"/>
    </xf>
    <xf numFmtId="0" fontId="11" fillId="5" borderId="10" xfId="0" applyFont="1" applyFill="1" applyBorder="1" applyAlignment="1" applyProtection="1">
      <alignment horizontal="center" vertical="center" wrapText="1"/>
      <protection locked="0"/>
    </xf>
    <xf numFmtId="0" fontId="11" fillId="5" borderId="9" xfId="0" applyFont="1" applyFill="1" applyBorder="1" applyAlignment="1" applyProtection="1">
      <alignment horizontal="center" vertical="center" wrapText="1"/>
      <protection locked="0"/>
    </xf>
    <xf numFmtId="0" fontId="11" fillId="5" borderId="11" xfId="0" applyFont="1" applyFill="1" applyBorder="1" applyAlignment="1" applyProtection="1">
      <alignment horizontal="center" vertical="center" wrapText="1"/>
      <protection locked="0"/>
    </xf>
    <xf numFmtId="0" fontId="11" fillId="5" borderId="12" xfId="0" applyFont="1" applyFill="1" applyBorder="1" applyAlignment="1" applyProtection="1">
      <alignment horizontal="center" vertical="center" wrapText="1"/>
      <protection locked="0"/>
    </xf>
    <xf numFmtId="0" fontId="11" fillId="5" borderId="0" xfId="0" applyFont="1" applyFill="1" applyAlignment="1" applyProtection="1">
      <alignment horizontal="center" vertical="center" wrapText="1"/>
      <protection locked="0"/>
    </xf>
    <xf numFmtId="0" fontId="11" fillId="5" borderId="13" xfId="0" applyFont="1" applyFill="1" applyBorder="1" applyAlignment="1" applyProtection="1">
      <alignment horizontal="center" vertical="center" wrapText="1"/>
      <protection locked="0"/>
    </xf>
    <xf numFmtId="0" fontId="11" fillId="5" borderId="14" xfId="0" applyFont="1" applyFill="1" applyBorder="1" applyAlignment="1" applyProtection="1">
      <alignment horizontal="center" vertical="center" wrapText="1"/>
      <protection locked="0"/>
    </xf>
    <xf numFmtId="0" fontId="11" fillId="5" borderId="15" xfId="0" applyFont="1" applyFill="1" applyBorder="1" applyAlignment="1" applyProtection="1">
      <alignment horizontal="center" vertical="center" wrapText="1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2" fillId="0" borderId="0" xfId="3" applyAlignment="1" applyProtection="1">
      <alignment wrapText="1"/>
      <protection locked="0"/>
    </xf>
  </cellXfs>
  <cellStyles count="4">
    <cellStyle name="Collegamento ipertestuale" xfId="3" builtinId="8"/>
    <cellStyle name="Colore 1" xfId="1" builtinId="29"/>
    <cellStyle name="Normale" xfId="0" builtinId="0"/>
    <cellStyle name="Percentuale" xfId="2" builtinId="5"/>
  </cellStyles>
  <dxfs count="99"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top/>
        <horizontal/>
      </border>
    </dxf>
    <dxf>
      <border>
        <left/>
        <top/>
        <horizontal/>
      </border>
    </dxf>
    <dxf>
      <border>
        <left/>
        <top/>
        <horizontal/>
      </border>
    </dxf>
    <dxf>
      <border>
        <left/>
        <top/>
        <horizontal/>
      </border>
    </dxf>
    <dxf>
      <border>
        <left/>
        <top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right style="dashDot">
          <color indexed="64"/>
        </right>
      </border>
    </dxf>
    <dxf>
      <fill>
        <patternFill>
          <bgColor theme="0" tint="-0.14999847407452621"/>
        </patternFill>
      </fill>
    </dxf>
    <dxf>
      <border>
        <right style="hair">
          <color indexed="64"/>
        </right>
      </border>
    </dxf>
    <dxf>
      <border>
        <right style="hair">
          <color indexed="64"/>
        </right>
      </border>
    </dxf>
    <dxf>
      <border>
        <right style="hair">
          <color indexed="64"/>
        </right>
      </border>
    </dxf>
    <dxf>
      <border>
        <right style="hair">
          <color indexed="64"/>
        </right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4" formatCode="0.00%"/>
      <fill>
        <patternFill>
          <fgColor indexed="64"/>
          <bgColor theme="3" tint="0.79998168889431442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6" formatCode="_-[$€-2]\ * #,##0.00_-;\-[$€-2]\ * #,##0.00_-;_-[$€-2]\ * &quot;-&quot;??_-;_-@_-"/>
      <protection locked="0" hidden="0"/>
    </dxf>
    <dxf>
      <numFmt numFmtId="14" formatCode="0.00%"/>
      <fill>
        <patternFill>
          <fgColor indexed="64"/>
          <bgColor theme="3" tint="0.79998168889431442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4" formatCode="0.00%"/>
      <protection locked="0" hidden="0"/>
    </dxf>
    <dxf>
      <protection locked="0" hidden="0"/>
    </dxf>
    <dxf>
      <fill>
        <patternFill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numFmt numFmtId="165" formatCode="[$-F400]h:mm:ss\ AM/PM"/>
      <protection locked="0" hidden="0"/>
    </dxf>
    <dxf>
      <numFmt numFmtId="164" formatCode="[$-410]d\-mmm;@"/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</dxfs>
  <tableStyles count="0" defaultTableStyle="TableStyleMedium9" defaultPivotStyle="PivotStyleLight16"/>
  <colors>
    <mruColors>
      <color rgb="FF163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Distribuzione Trade (Target/Stop/Breakeven)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Statistiche!$A$1:$A$3</c:f>
              <c:strCache>
                <c:ptCount val="3"/>
                <c:pt idx="0">
                  <c:v>Target</c:v>
                </c:pt>
                <c:pt idx="1">
                  <c:v>Stop Loss</c:v>
                </c:pt>
                <c:pt idx="2">
                  <c:v>Breakeven</c:v>
                </c:pt>
              </c:strCache>
            </c:strRef>
          </c:cat>
          <c:val>
            <c:numRef>
              <c:f>Statistiche!$B$1:$B$3</c:f>
              <c:numCache>
                <c:formatCode>0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5-4E18-8AB0-31CF2D92E0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 Direzione (Long vs Short)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27-496D-8D05-0E4F510B6D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27-496D-8D05-0E4F510B6D6E}"/>
              </c:ext>
            </c:extLst>
          </c:dPt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Statistiche!$A$7:$A$8</c:f>
              <c:strCache>
                <c:ptCount val="2"/>
                <c:pt idx="0">
                  <c:v>Long Totali</c:v>
                </c:pt>
                <c:pt idx="1">
                  <c:v>Short Totali</c:v>
                </c:pt>
              </c:strCache>
            </c:strRef>
          </c:cat>
          <c:val>
            <c:numRef>
              <c:f>Statistiche!$B$7:$B$8</c:f>
              <c:numCache>
                <c:formatCode>0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B-4FC4-BF25-FE36EEB477DD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Equity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Dati!$T$2:$T$4</c:f>
              <c:numCache>
                <c:formatCode>0.00%</c:formatCode>
                <c:ptCount val="3"/>
                <c:pt idx="0">
                  <c:v>1.7500000000000002E-2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F-4BF2-B3F9-7B959E5E7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\ h:mm:ss" sourceLinked="1"/>
        <c:majorTickMark val="none"/>
        <c:minorTickMark val="none"/>
        <c:tickLblPos val="nextTo"/>
        <c:crossAx val="100"/>
        <c:crosses val="autoZero"/>
        <c:auto val="0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Equity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Frequenza Emotiva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Statistiche!$B$29</c:f>
              <c:strCache>
                <c:ptCount val="1"/>
                <c:pt idx="0">
                  <c:v>Numero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Statistiche!$A$30:$A$36</c:f>
              <c:strCache>
                <c:ptCount val="7"/>
                <c:pt idx="0">
                  <c:v>ansia</c:v>
                </c:pt>
                <c:pt idx="1">
                  <c:v>calma</c:v>
                </c:pt>
                <c:pt idx="2">
                  <c:v>fiducioso</c:v>
                </c:pt>
                <c:pt idx="3">
                  <c:v>impaziente</c:v>
                </c:pt>
                <c:pt idx="4">
                  <c:v>paura</c:v>
                </c:pt>
                <c:pt idx="5">
                  <c:v>sicuro</c:v>
                </c:pt>
                <c:pt idx="6">
                  <c:v>stress</c:v>
                </c:pt>
              </c:strCache>
            </c:strRef>
          </c:cat>
          <c:val>
            <c:numRef>
              <c:f>Statistiche!$B$30:$B$36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3-48CB-AB0E-675EDD695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Emozione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Numero Trade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[journal final.xlsx]Statistiche!Tabella pivot2</c:name>
    <c:fmtId val="33"/>
  </c:pivotSource>
  <c:chart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>
              <a:alpha val="80000"/>
            </a:srgb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Statistiche!$B$20:$B$21</c:f>
              <c:strCache>
                <c:ptCount val="1"/>
                <c:pt idx="0">
                  <c:v>Breakeven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Statistiche!$A$22:$A$28</c:f>
              <c:strCache>
                <c:ptCount val="7"/>
                <c:pt idx="0">
                  <c:v>06</c:v>
                </c:pt>
                <c:pt idx="1">
                  <c:v>07</c:v>
                </c:pt>
                <c:pt idx="2">
                  <c:v>08</c:v>
                </c:pt>
                <c:pt idx="3">
                  <c:v>11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</c:strCache>
            </c:strRef>
          </c:cat>
          <c:val>
            <c:numRef>
              <c:f>Statistiche!$B$22:$B$28</c:f>
              <c:numCache>
                <c:formatCode>General</c:formatCode>
                <c:ptCount val="7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9-4C03-BA80-F83CCBBE8FFA}"/>
            </c:ext>
          </c:extLst>
        </c:ser>
        <c:ser>
          <c:idx val="1"/>
          <c:order val="1"/>
          <c:tx>
            <c:strRef>
              <c:f>Statistiche!$C$20:$C$21</c:f>
              <c:strCache>
                <c:ptCount val="1"/>
                <c:pt idx="0">
                  <c:v>Stop Loss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Statistiche!$A$22:$A$28</c:f>
              <c:strCache>
                <c:ptCount val="7"/>
                <c:pt idx="0">
                  <c:v>06</c:v>
                </c:pt>
                <c:pt idx="1">
                  <c:v>07</c:v>
                </c:pt>
                <c:pt idx="2">
                  <c:v>08</c:v>
                </c:pt>
                <c:pt idx="3">
                  <c:v>11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</c:strCache>
            </c:strRef>
          </c:cat>
          <c:val>
            <c:numRef>
              <c:f>Statistiche!$C$22:$C$28</c:f>
              <c:numCache>
                <c:formatCode>General</c:formatCode>
                <c:ptCount val="7"/>
                <c:pt idx="0">
                  <c:v>1</c:v>
                </c:pt>
                <c:pt idx="3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9-4C03-BA80-F83CCBBE8FFA}"/>
            </c:ext>
          </c:extLst>
        </c:ser>
        <c:ser>
          <c:idx val="2"/>
          <c:order val="2"/>
          <c:tx>
            <c:strRef>
              <c:f>Statistiche!$D$20:$D$21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92D050">
                <a:alpha val="80000"/>
              </a:srgb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Statistiche!$A$22:$A$28</c:f>
              <c:strCache>
                <c:ptCount val="7"/>
                <c:pt idx="0">
                  <c:v>06</c:v>
                </c:pt>
                <c:pt idx="1">
                  <c:v>07</c:v>
                </c:pt>
                <c:pt idx="2">
                  <c:v>08</c:v>
                </c:pt>
                <c:pt idx="3">
                  <c:v>11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</c:strCache>
            </c:strRef>
          </c:cat>
          <c:val>
            <c:numRef>
              <c:f>Statistiche!$D$22:$D$28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09-4C03-BA80-F83CCBBE8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6609880"/>
        <c:axId val="705920104"/>
      </c:barChart>
      <c:catAx>
        <c:axId val="606609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5920104"/>
        <c:crosses val="autoZero"/>
        <c:auto val="1"/>
        <c:lblAlgn val="ctr"/>
        <c:lblOffset val="100"/>
        <c:noMultiLvlLbl val="0"/>
      </c:catAx>
      <c:valAx>
        <c:axId val="70592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660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[journal final.xlsx]Statistiche!Tabella pivot6</c:name>
    <c:fmtId val="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Statistiche!$B$37:$B$38</c:f>
              <c:strCache>
                <c:ptCount val="1"/>
                <c:pt idx="0">
                  <c:v>Breakeven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Statistiche!$A$39:$A$43</c:f>
              <c:strCache>
                <c:ptCount val="5"/>
                <c:pt idx="0">
                  <c:v>d1</c:v>
                </c:pt>
                <c:pt idx="1">
                  <c:v>h1</c:v>
                </c:pt>
                <c:pt idx="2">
                  <c:v>h4</c:v>
                </c:pt>
                <c:pt idx="3">
                  <c:v>m15</c:v>
                </c:pt>
                <c:pt idx="4">
                  <c:v>m30</c:v>
                </c:pt>
              </c:strCache>
            </c:strRef>
          </c:cat>
          <c:val>
            <c:numRef>
              <c:f>Statistiche!$B$39:$B$43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54B-4555-B035-BECF1941908F}"/>
            </c:ext>
          </c:extLst>
        </c:ser>
        <c:ser>
          <c:idx val="1"/>
          <c:order val="1"/>
          <c:tx>
            <c:strRef>
              <c:f>Statistiche!$C$37:$C$38</c:f>
              <c:strCache>
                <c:ptCount val="1"/>
                <c:pt idx="0">
                  <c:v>Stop Loss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Statistiche!$A$39:$A$43</c:f>
              <c:strCache>
                <c:ptCount val="5"/>
                <c:pt idx="0">
                  <c:v>d1</c:v>
                </c:pt>
                <c:pt idx="1">
                  <c:v>h1</c:v>
                </c:pt>
                <c:pt idx="2">
                  <c:v>h4</c:v>
                </c:pt>
                <c:pt idx="3">
                  <c:v>m15</c:v>
                </c:pt>
                <c:pt idx="4">
                  <c:v>m30</c:v>
                </c:pt>
              </c:strCache>
            </c:strRef>
          </c:cat>
          <c:val>
            <c:numRef>
              <c:f>Statistiche!$C$39:$C$43</c:f>
              <c:numCache>
                <c:formatCode>General</c:formatCode>
                <c:ptCount val="5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B-4F27-8B81-4BECF83B89C4}"/>
            </c:ext>
          </c:extLst>
        </c:ser>
        <c:ser>
          <c:idx val="2"/>
          <c:order val="2"/>
          <c:tx>
            <c:strRef>
              <c:f>Statistiche!$D$37:$D$38</c:f>
              <c:strCache>
                <c:ptCount val="1"/>
                <c:pt idx="0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Statistiche!$A$39:$A$43</c:f>
              <c:strCache>
                <c:ptCount val="5"/>
                <c:pt idx="0">
                  <c:v>d1</c:v>
                </c:pt>
                <c:pt idx="1">
                  <c:v>h1</c:v>
                </c:pt>
                <c:pt idx="2">
                  <c:v>h4</c:v>
                </c:pt>
                <c:pt idx="3">
                  <c:v>m15</c:v>
                </c:pt>
                <c:pt idx="4">
                  <c:v>m30</c:v>
                </c:pt>
              </c:strCache>
            </c:strRef>
          </c:cat>
          <c:val>
            <c:numRef>
              <c:f>Statistiche!$D$39:$D$43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EB-4F27-8B81-4BECF83B8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29510592"/>
        <c:axId val="729513472"/>
      </c:barChart>
      <c:catAx>
        <c:axId val="7295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9513472"/>
        <c:crosses val="autoZero"/>
        <c:auto val="1"/>
        <c:lblAlgn val="ctr"/>
        <c:lblOffset val="100"/>
        <c:noMultiLvlLbl val="0"/>
      </c:catAx>
      <c:valAx>
        <c:axId val="7295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951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Win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67F-4B2E-B393-9F65D8C5D2D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067F-4B2E-B393-9F65D8C5D2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(Statistiche!$A$2,Statistiche!$A$4)</c:f>
              <c:strCache>
                <c:ptCount val="2"/>
                <c:pt idx="0">
                  <c:v>Stop Loss</c:v>
                </c:pt>
                <c:pt idx="1">
                  <c:v>Win</c:v>
                </c:pt>
              </c:strCache>
            </c:strRef>
          </c:cat>
          <c:val>
            <c:numRef>
              <c:f>(Statistiche!$B$2,Statistiche!$B$4)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F-4B2E-B393-9F65D8C5D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23812</xdr:colOff>
      <xdr:row>0</xdr:row>
      <xdr:rowOff>33337</xdr:rowOff>
    </xdr:from>
    <xdr:ext cx="7536657" cy="26455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22</xdr:col>
      <xdr:colOff>166687</xdr:colOff>
      <xdr:row>0</xdr:row>
      <xdr:rowOff>35719</xdr:rowOff>
    </xdr:from>
    <xdr:ext cx="3012283" cy="265509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22</xdr:col>
      <xdr:colOff>178594</xdr:colOff>
      <xdr:row>12</xdr:row>
      <xdr:rowOff>35720</xdr:rowOff>
    </xdr:from>
    <xdr:ext cx="7048500" cy="360759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22</xdr:col>
      <xdr:colOff>190497</xdr:colOff>
      <xdr:row>31</xdr:row>
      <xdr:rowOff>30956</xdr:rowOff>
    </xdr:from>
    <xdr:ext cx="7036596" cy="370760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8</xdr:col>
      <xdr:colOff>35717</xdr:colOff>
      <xdr:row>12</xdr:row>
      <xdr:rowOff>35720</xdr:rowOff>
    </xdr:from>
    <xdr:to>
      <xdr:col>20</xdr:col>
      <xdr:colOff>273841</xdr:colOff>
      <xdr:row>31</xdr:row>
      <xdr:rowOff>35718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AF9A6E46-9F91-3F60-1439-5FA9DF78F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29763</xdr:colOff>
      <xdr:row>31</xdr:row>
      <xdr:rowOff>71438</xdr:rowOff>
    </xdr:from>
    <xdr:to>
      <xdr:col>20</xdr:col>
      <xdr:colOff>285750</xdr:colOff>
      <xdr:row>50</xdr:row>
      <xdr:rowOff>166688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7DCEA84-23E1-FCCC-DDA3-56C835345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43</xdr:row>
      <xdr:rowOff>1</xdr:rowOff>
    </xdr:from>
    <xdr:to>
      <xdr:col>3</xdr:col>
      <xdr:colOff>797717</xdr:colOff>
      <xdr:row>51</xdr:row>
      <xdr:rowOff>11906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oppia / Cross">
              <a:extLst>
                <a:ext uri="{FF2B5EF4-FFF2-40B4-BE49-F238E27FC236}">
                  <a16:creationId xmlns:a16="http://schemas.microsoft.com/office/drawing/2014/main" id="{89DE5F9C-78EB-CD89-D95D-C9E25CF504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ppia / Cro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548689"/>
              <a:ext cx="5203030" cy="1535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27</xdr:col>
      <xdr:colOff>214313</xdr:colOff>
      <xdr:row>0</xdr:row>
      <xdr:rowOff>47625</xdr:rowOff>
    </xdr:from>
    <xdr:to>
      <xdr:col>33</xdr:col>
      <xdr:colOff>529828</xdr:colOff>
      <xdr:row>11</xdr:row>
      <xdr:rowOff>214313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9ED930DA-A486-E2B9-B39B-53C63F510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p" refreshedDate="45894.590491087962" createdVersion="8" refreshedVersion="8" minRefreshableVersion="3" recordCount="2144" xr:uid="{79463C95-D7E7-47C9-9378-68E83A793F8B}">
  <cacheSource type="worksheet">
    <worksheetSource name="Tabella2"/>
  </cacheSource>
  <cacheFields count="24">
    <cacheField name="Coppia / Cross" numFmtId="0">
      <sharedItems containsBlank="1" count="11">
        <s v="EURJPY"/>
        <s v="AUDUSD"/>
        <s v="GBPUSD"/>
        <s v="EURUSD"/>
        <s v="GBPJPY"/>
        <s v="USDJPY"/>
        <s v="USDCAD"/>
        <s v="XAUUSD"/>
        <s v="XAGUSD"/>
        <s v="CADJPY"/>
        <m/>
      </sharedItems>
    </cacheField>
    <cacheField name="Data" numFmtId="164">
      <sharedItems containsNonDate="0" containsDate="1" containsString="0" containsBlank="1" minDate="2025-08-21T00:00:00" maxDate="2025-08-22T00:00:00"/>
    </cacheField>
    <cacheField name="Orario" numFmtId="165">
      <sharedItems containsNonDate="0" containsDate="1" containsString="0" containsBlank="1" minDate="1899-12-30T06:30:00" maxDate="1899-12-30T23:30:00" count="21">
        <d v="1899-12-30T11:00:00"/>
        <d v="1899-12-30T16:00:00"/>
        <d v="1899-12-30T08:45:00"/>
        <d v="1899-12-30T11:45:00"/>
        <d v="1899-12-30T23:30:00"/>
        <d v="1899-12-30T23:00:00"/>
        <d v="1899-12-30T07:30:00"/>
        <d v="1899-12-30T21:30:00"/>
        <d v="1899-12-30T06:30:00"/>
        <d v="1899-12-30T07:00:00"/>
        <d v="1899-12-30T08:00:00"/>
        <d v="1899-12-30T09:00:00"/>
        <d v="1899-12-30T10:00:00"/>
        <d v="1899-12-30T15:00:00"/>
        <d v="1899-12-30T20:00:00"/>
        <m/>
        <d v="1899-12-30T15:15:00" u="1"/>
        <d v="1899-12-30T12:45:00" u="1"/>
        <d v="1899-12-30T07:45:00" u="1"/>
        <d v="1899-12-30T14:15:00" u="1"/>
        <d v="1899-12-30T09:15:00" u="1"/>
      </sharedItems>
      <fieldGroup par="23"/>
    </cacheField>
    <cacheField name="Mese" numFmtId="0">
      <sharedItems containsBlank="1"/>
    </cacheField>
    <cacheField name="Giorno settimana" numFmtId="0">
      <sharedItems containsBlank="1"/>
    </cacheField>
    <cacheField name="Direzione" numFmtId="0">
      <sharedItems containsBlank="1"/>
    </cacheField>
    <cacheField name="RISCHIO %" numFmtId="10">
      <sharedItems containsString="0" containsBlank="1" containsNumber="1" minValue="5.0000000000000001E-3" maxValue="2.3095238095238099E-2"/>
    </cacheField>
    <cacheField name="RR FINALE 1:" numFmtId="0">
      <sharedItems containsString="0" containsBlank="1" containsNumber="1" minValue="1.24" maxValue="2.95"/>
    </cacheField>
    <cacheField name="Pips tp" numFmtId="0">
      <sharedItems containsNonDate="0" containsString="0" containsBlank="1"/>
    </cacheField>
    <cacheField name="Pips stop loss" numFmtId="0">
      <sharedItems containsNonDate="0" containsString="0" containsBlank="1"/>
    </cacheField>
    <cacheField name="Risultato" numFmtId="0">
      <sharedItems containsBlank="1" count="4">
        <s v="Stop Loss"/>
        <s v="Target"/>
        <s v="Breakeven"/>
        <m/>
      </sharedItems>
    </cacheField>
    <cacheField name="Risultato %" numFmtId="0">
      <sharedItems containsBlank="1" containsMixedTypes="1" containsNumber="1" minValue="-2.1666666666666699E-2" maxValue="6.1144761904761966E-2"/>
    </cacheField>
    <cacheField name="Risultato valuta" numFmtId="166">
      <sharedItems containsString="0" containsBlank="1" containsNumber="1" minValue="-1.87" maxValue="6.5208000000000004"/>
    </cacheField>
    <cacheField name="Tf d'entrata" numFmtId="0">
      <sharedItems containsBlank="1" count="6">
        <s v="m15"/>
        <s v="h4"/>
        <s v="h1"/>
        <s v="m30"/>
        <s v="d1"/>
        <m/>
      </sharedItems>
    </cacheField>
    <cacheField name="SCREEN PRE" numFmtId="0">
      <sharedItems containsNonDate="0" containsString="0" containsBlank="1"/>
    </cacheField>
    <cacheField name="SCREEN POST" numFmtId="0">
      <sharedItems containsNonDate="0" containsString="0" containsBlank="1"/>
    </cacheField>
    <cacheField name="note" numFmtId="0">
      <sharedItems containsNonDate="0" containsString="0" containsBlank="1"/>
    </cacheField>
    <cacheField name="Note post operazione" numFmtId="0">
      <sharedItems containsNonDate="0" containsString="0" containsBlank="1"/>
    </cacheField>
    <cacheField name="PRO" numFmtId="0">
      <sharedItems containsNonDate="0" containsString="0" containsBlank="1"/>
    </cacheField>
    <cacheField name="CONTRO" numFmtId="0">
      <sharedItems containsNonDate="0" containsString="0" containsBlank="1"/>
    </cacheField>
    <cacheField name="EquityCurve" numFmtId="0">
      <sharedItems containsBlank="1" containsMixedTypes="1" containsNumber="1" minValue="-0.02" maxValue="0.50056357142857177"/>
    </cacheField>
    <cacheField name="Emozioni" numFmtId="0">
      <sharedItems containsBlank="1"/>
    </cacheField>
    <cacheField name="Minuti (Orario)" numFmtId="0" databaseField="0">
      <fieldGroup base="2">
        <rangePr groupBy="minutes" startDate="1899-12-30T06:30:00" endDate="1899-12-30T23:30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Ore (Orario)" numFmtId="0" databaseField="0">
      <fieldGroup base="2">
        <rangePr groupBy="hours" startDate="1899-12-30T06:30:00" endDate="1899-12-30T23:30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16084631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4">
  <r>
    <x v="0"/>
    <d v="2025-08-21T00:00:00"/>
    <x v="0"/>
    <s v="Agosto"/>
    <s v="Giovedì"/>
    <s v="Long"/>
    <n v="0.02"/>
    <n v="2.95"/>
    <m/>
    <m/>
    <x v="0"/>
    <n v="-0.02"/>
    <n v="0"/>
    <x v="0"/>
    <m/>
    <m/>
    <m/>
    <m/>
    <m/>
    <m/>
    <n v="-0.02"/>
    <s v="fiducioso"/>
  </r>
  <r>
    <x v="1"/>
    <d v="2025-08-21T00:00:00"/>
    <x v="1"/>
    <s v="Agosto"/>
    <s v="Giovedì"/>
    <s v="Long"/>
    <n v="0.02"/>
    <n v="1.24"/>
    <m/>
    <m/>
    <x v="1"/>
    <n v="2.4799999999999999E-2"/>
    <n v="3.5588000000000002"/>
    <x v="1"/>
    <m/>
    <m/>
    <m/>
    <m/>
    <m/>
    <m/>
    <n v="4.7999999999999987E-3"/>
    <s v="calma"/>
  </r>
  <r>
    <x v="2"/>
    <d v="2025-08-21T00:00:00"/>
    <x v="2"/>
    <s v="Agosto"/>
    <s v="Giovedì"/>
    <s v="Long"/>
    <n v="5.0000000000000001E-3"/>
    <n v="2.42"/>
    <m/>
    <m/>
    <x v="1"/>
    <n v="1.21E-2"/>
    <n v="3.5331999999999999"/>
    <x v="2"/>
    <m/>
    <m/>
    <m/>
    <m/>
    <m/>
    <m/>
    <n v="1.6899999999999998E-2"/>
    <s v="calma"/>
  </r>
  <r>
    <x v="3"/>
    <d v="2025-08-21T00:00:00"/>
    <x v="3"/>
    <s v="Agosto"/>
    <s v="Giovedì"/>
    <s v="Long"/>
    <n v="0.01"/>
    <n v="1.3"/>
    <m/>
    <m/>
    <x v="0"/>
    <n v="-0.01"/>
    <n v="-1.87"/>
    <x v="3"/>
    <m/>
    <m/>
    <m/>
    <m/>
    <m/>
    <m/>
    <n v="6.8999999999999981E-3"/>
    <s v="fiducioso"/>
  </r>
  <r>
    <x v="1"/>
    <d v="2025-08-21T00:00:00"/>
    <x v="4"/>
    <s v="Agosto"/>
    <s v="Giovedì"/>
    <s v="Long"/>
    <n v="0.01"/>
    <n v="1.59"/>
    <m/>
    <m/>
    <x v="1"/>
    <n v="1.5900000000000001E-2"/>
    <n v="0.98580000000000001"/>
    <x v="4"/>
    <m/>
    <m/>
    <m/>
    <m/>
    <m/>
    <m/>
    <n v="2.2800000000000001E-2"/>
    <s v="impaziente"/>
  </r>
  <r>
    <x v="4"/>
    <d v="2025-08-21T00:00:00"/>
    <x v="5"/>
    <s v="Agosto"/>
    <s v="Giovedì"/>
    <s v="Long"/>
    <n v="5.0000000000000001E-3"/>
    <n v="2.42"/>
    <m/>
    <m/>
    <x v="2"/>
    <n v="0"/>
    <n v="0"/>
    <x v="0"/>
    <m/>
    <m/>
    <m/>
    <m/>
    <m/>
    <m/>
    <n v="2.2800000000000001E-2"/>
    <s v="calma"/>
  </r>
  <r>
    <x v="4"/>
    <d v="2025-08-21T00:00:00"/>
    <x v="6"/>
    <s v="Agosto"/>
    <s v="Giovedì"/>
    <s v="Short"/>
    <n v="0.01"/>
    <n v="2.4500000000000002"/>
    <m/>
    <m/>
    <x v="1"/>
    <n v="2.4500000000000001E-2"/>
    <n v="5.5125000000000002"/>
    <x v="1"/>
    <m/>
    <m/>
    <m/>
    <m/>
    <m/>
    <m/>
    <n v="4.7300000000000002E-2"/>
    <s v="ansia"/>
  </r>
  <r>
    <x v="5"/>
    <d v="2025-08-21T00:00:00"/>
    <x v="7"/>
    <s v="Agosto"/>
    <s v="Giovedì"/>
    <s v="Long"/>
    <n v="0.01"/>
    <n v="2.2999999999999998"/>
    <m/>
    <m/>
    <x v="1"/>
    <n v="2.3E-2"/>
    <n v="2.484"/>
    <x v="2"/>
    <m/>
    <m/>
    <m/>
    <m/>
    <m/>
    <m/>
    <n v="7.0300000000000001E-2"/>
    <s v="impaziente"/>
  </r>
  <r>
    <x v="6"/>
    <d v="2025-08-21T00:00:00"/>
    <x v="8"/>
    <s v="Agosto"/>
    <s v="Giovedì"/>
    <s v="Long"/>
    <n v="0.01"/>
    <n v="1.51"/>
    <m/>
    <m/>
    <x v="1"/>
    <n v="1.5100000000000001E-2"/>
    <n v="3.9108999999999998"/>
    <x v="4"/>
    <m/>
    <m/>
    <m/>
    <m/>
    <m/>
    <m/>
    <n v="8.5400000000000004E-2"/>
    <s v="calma"/>
  </r>
  <r>
    <x v="4"/>
    <d v="2025-08-21T00:00:00"/>
    <x v="9"/>
    <s v="Agosto"/>
    <s v="Giovedì"/>
    <s v="Long"/>
    <n v="0.01"/>
    <n v="2.4700000000000002"/>
    <m/>
    <m/>
    <x v="1"/>
    <n v="2.4700000000000003E-2"/>
    <n v="6.5208000000000004"/>
    <x v="1"/>
    <m/>
    <m/>
    <m/>
    <m/>
    <m/>
    <m/>
    <n v="0.1101"/>
    <s v="stress"/>
  </r>
  <r>
    <x v="7"/>
    <d v="2025-08-21T00:00:00"/>
    <x v="10"/>
    <s v="Agosto"/>
    <s v="Giovedì"/>
    <s v="Short"/>
    <n v="0.01"/>
    <n v="2.5"/>
    <m/>
    <m/>
    <x v="1"/>
    <n v="2.5000000000000001E-2"/>
    <m/>
    <x v="5"/>
    <m/>
    <m/>
    <m/>
    <m/>
    <m/>
    <m/>
    <n v="0.1351"/>
    <s v="fiducioso"/>
  </r>
  <r>
    <x v="8"/>
    <d v="2025-08-21T00:00:00"/>
    <x v="11"/>
    <s v="Agosto"/>
    <s v="Giovedì"/>
    <s v="Short"/>
    <n v="1.16666666666667E-2"/>
    <n v="2.327"/>
    <m/>
    <m/>
    <x v="0"/>
    <n v="-1.16666666666667E-2"/>
    <m/>
    <x v="5"/>
    <m/>
    <m/>
    <m/>
    <m/>
    <m/>
    <m/>
    <n v="0.1234333333333333"/>
    <s v="calma"/>
  </r>
  <r>
    <x v="7"/>
    <m/>
    <x v="12"/>
    <s v=""/>
    <s v=""/>
    <s v="Short"/>
    <n v="1.23809523809524E-2"/>
    <n v="2.3540000000000001"/>
    <m/>
    <m/>
    <x v="1"/>
    <n v="2.9144761904761951E-2"/>
    <m/>
    <x v="5"/>
    <m/>
    <m/>
    <m/>
    <m/>
    <m/>
    <m/>
    <n v="0.15257809523809523"/>
    <s v="calma"/>
  </r>
  <r>
    <x v="1"/>
    <m/>
    <x v="13"/>
    <s v=""/>
    <s v=""/>
    <s v="Short"/>
    <n v="1.3095238095238101E-2"/>
    <n v="2.3809999999999998"/>
    <m/>
    <m/>
    <x v="1"/>
    <n v="3.1179761904761915E-2"/>
    <m/>
    <x v="5"/>
    <m/>
    <m/>
    <m/>
    <m/>
    <m/>
    <m/>
    <n v="0.18375785714285714"/>
    <s v="fiducioso"/>
  </r>
  <r>
    <x v="9"/>
    <m/>
    <x v="14"/>
    <s v=""/>
    <s v=""/>
    <s v="Long"/>
    <n v="1.3809523809523799E-2"/>
    <n v="2.4079999999999999"/>
    <m/>
    <m/>
    <x v="0"/>
    <n v="-1.3809523809523799E-2"/>
    <m/>
    <x v="5"/>
    <m/>
    <m/>
    <m/>
    <m/>
    <m/>
    <m/>
    <n v="0.16994833333333334"/>
    <s v="impaziente"/>
  </r>
  <r>
    <x v="10"/>
    <m/>
    <x v="7"/>
    <s v=""/>
    <s v=""/>
    <s v="Long"/>
    <n v="1.45238095238095E-2"/>
    <n v="2.4350000000000001"/>
    <m/>
    <m/>
    <x v="1"/>
    <n v="3.5365476190476135E-2"/>
    <m/>
    <x v="5"/>
    <m/>
    <m/>
    <m/>
    <m/>
    <m/>
    <m/>
    <n v="0.20531380952380948"/>
    <s v="calma"/>
  </r>
  <r>
    <x v="10"/>
    <m/>
    <x v="8"/>
    <s v=""/>
    <s v=""/>
    <s v="Long"/>
    <n v="1.52380952380952E-2"/>
    <n v="2.4620000000000002"/>
    <m/>
    <m/>
    <x v="2"/>
    <n v="0"/>
    <m/>
    <x v="5"/>
    <m/>
    <m/>
    <m/>
    <m/>
    <m/>
    <m/>
    <n v="0.20531380952380948"/>
    <s v="ansia"/>
  </r>
  <r>
    <x v="10"/>
    <m/>
    <x v="8"/>
    <s v=""/>
    <s v=""/>
    <s v="Short"/>
    <n v="1.5952380952380999E-2"/>
    <n v="2.4889999999999999"/>
    <m/>
    <m/>
    <x v="0"/>
    <n v="-1.5952380952380999E-2"/>
    <m/>
    <x v="5"/>
    <m/>
    <m/>
    <m/>
    <m/>
    <m/>
    <m/>
    <n v="0.18936142857142849"/>
    <s v="impaziente"/>
  </r>
  <r>
    <x v="10"/>
    <m/>
    <x v="15"/>
    <s v=""/>
    <s v=""/>
    <s v="Short"/>
    <n v="1.6666666666666701E-2"/>
    <n v="2.516"/>
    <m/>
    <m/>
    <x v="1"/>
    <n v="4.193333333333342E-2"/>
    <m/>
    <x v="5"/>
    <m/>
    <m/>
    <m/>
    <m/>
    <m/>
    <m/>
    <n v="0.23129476190476189"/>
    <s v="calma"/>
  </r>
  <r>
    <x v="10"/>
    <m/>
    <x v="15"/>
    <s v=""/>
    <s v=""/>
    <s v="Short"/>
    <n v="1.73809523809524E-2"/>
    <n v="2.5430000000000001"/>
    <m/>
    <m/>
    <x v="1"/>
    <n v="4.4199761904761957E-2"/>
    <m/>
    <x v="5"/>
    <m/>
    <m/>
    <m/>
    <m/>
    <m/>
    <m/>
    <n v="0.27549452380952383"/>
    <s v="stress"/>
  </r>
  <r>
    <x v="10"/>
    <m/>
    <x v="15"/>
    <s v=""/>
    <s v=""/>
    <s v="Short"/>
    <n v="1.8095238095238102E-2"/>
    <n v="2.57"/>
    <m/>
    <m/>
    <x v="1"/>
    <n v="4.6504761904761917E-2"/>
    <m/>
    <x v="5"/>
    <m/>
    <m/>
    <m/>
    <m/>
    <m/>
    <m/>
    <n v="0.32199928571428577"/>
    <s v="fiducioso"/>
  </r>
  <r>
    <x v="10"/>
    <m/>
    <x v="15"/>
    <s v=""/>
    <s v=""/>
    <s v="Long"/>
    <n v="1.88095238095238E-2"/>
    <n v="2.597"/>
    <m/>
    <m/>
    <x v="1"/>
    <n v="4.8848333333333306E-2"/>
    <m/>
    <x v="5"/>
    <m/>
    <m/>
    <m/>
    <m/>
    <m/>
    <m/>
    <n v="0.37084761904761909"/>
    <s v="calma"/>
  </r>
  <r>
    <x v="10"/>
    <m/>
    <x v="15"/>
    <s v=""/>
    <s v=""/>
    <s v="Long"/>
    <n v="1.9523809523809499E-2"/>
    <n v="2.6240000000000001"/>
    <m/>
    <m/>
    <x v="0"/>
    <n v="-1.9523809523809499E-2"/>
    <m/>
    <x v="5"/>
    <m/>
    <m/>
    <m/>
    <m/>
    <m/>
    <m/>
    <n v="0.35132380952380959"/>
    <s v="calma"/>
  </r>
  <r>
    <x v="10"/>
    <m/>
    <x v="15"/>
    <s v=""/>
    <s v=""/>
    <s v="Long"/>
    <n v="2.0238095238095302E-2"/>
    <n v="2.6509999999999998"/>
    <m/>
    <m/>
    <x v="1"/>
    <n v="5.3651190476190637E-2"/>
    <m/>
    <x v="5"/>
    <m/>
    <m/>
    <m/>
    <m/>
    <m/>
    <m/>
    <n v="0.40497500000000025"/>
    <s v="fiducioso"/>
  </r>
  <r>
    <x v="10"/>
    <m/>
    <x v="15"/>
    <s v=""/>
    <s v=""/>
    <s v="Short"/>
    <n v="2.0952380952381E-2"/>
    <n v="2.6779999999999999"/>
    <m/>
    <m/>
    <x v="1"/>
    <n v="5.6110476190476315E-2"/>
    <m/>
    <x v="5"/>
    <m/>
    <m/>
    <m/>
    <m/>
    <m/>
    <m/>
    <n v="0.46108547619047657"/>
    <s v="impaziente"/>
  </r>
  <r>
    <x v="10"/>
    <m/>
    <x v="15"/>
    <s v=""/>
    <s v=""/>
    <s v="Short"/>
    <n v="2.1666666666666699E-2"/>
    <n v="2.7050000000000001"/>
    <m/>
    <m/>
    <x v="0"/>
    <n v="-2.1666666666666699E-2"/>
    <m/>
    <x v="5"/>
    <m/>
    <m/>
    <m/>
    <m/>
    <m/>
    <m/>
    <n v="0.43941880952380985"/>
    <s v="calma"/>
  </r>
  <r>
    <x v="10"/>
    <m/>
    <x v="15"/>
    <s v=""/>
    <s v=""/>
    <s v="Short"/>
    <n v="2.2380952380952401E-2"/>
    <n v="2.7320000000000002"/>
    <m/>
    <m/>
    <x v="1"/>
    <n v="6.1144761904761966E-2"/>
    <m/>
    <x v="5"/>
    <m/>
    <m/>
    <m/>
    <m/>
    <m/>
    <m/>
    <n v="0.50056357142857177"/>
    <s v="ansia"/>
  </r>
  <r>
    <x v="10"/>
    <m/>
    <x v="15"/>
    <s v=""/>
    <s v=""/>
    <s v="Short"/>
    <n v="2.3095238095238099E-2"/>
    <n v="2.7589999999999999"/>
    <m/>
    <m/>
    <x v="2"/>
    <n v="0"/>
    <m/>
    <x v="5"/>
    <m/>
    <m/>
    <m/>
    <m/>
    <m/>
    <m/>
    <n v="0.50056357142857177"/>
    <s v="impaziente"/>
  </r>
  <r>
    <x v="10"/>
    <m/>
    <x v="15"/>
    <s v=""/>
    <s v=""/>
    <m/>
    <m/>
    <m/>
    <m/>
    <m/>
    <x v="3"/>
    <s v=""/>
    <m/>
    <x v="5"/>
    <m/>
    <m/>
    <m/>
    <m/>
    <m/>
    <m/>
    <s v=""/>
    <s v="ansia"/>
  </r>
  <r>
    <x v="10"/>
    <m/>
    <x v="15"/>
    <s v=""/>
    <s v=""/>
    <m/>
    <m/>
    <m/>
    <m/>
    <m/>
    <x v="3"/>
    <s v=""/>
    <m/>
    <x v="5"/>
    <m/>
    <m/>
    <m/>
    <m/>
    <m/>
    <m/>
    <s v=""/>
    <s v="ansia"/>
  </r>
  <r>
    <x v="10"/>
    <m/>
    <x v="15"/>
    <s v=""/>
    <s v=""/>
    <m/>
    <m/>
    <m/>
    <m/>
    <m/>
    <x v="3"/>
    <s v=""/>
    <m/>
    <x v="5"/>
    <m/>
    <m/>
    <m/>
    <m/>
    <m/>
    <m/>
    <s v=""/>
    <s v="ansia"/>
  </r>
  <r>
    <x v="10"/>
    <m/>
    <x v="15"/>
    <s v=""/>
    <s v=""/>
    <m/>
    <m/>
    <m/>
    <m/>
    <m/>
    <x v="3"/>
    <s v=""/>
    <m/>
    <x v="5"/>
    <m/>
    <m/>
    <m/>
    <m/>
    <m/>
    <m/>
    <s v=""/>
    <s v="ansia"/>
  </r>
  <r>
    <x v="10"/>
    <m/>
    <x v="15"/>
    <s v=""/>
    <s v=""/>
    <m/>
    <m/>
    <m/>
    <m/>
    <m/>
    <x v="3"/>
    <s v=""/>
    <m/>
    <x v="5"/>
    <m/>
    <m/>
    <m/>
    <m/>
    <m/>
    <m/>
    <s v=""/>
    <s v="ansia"/>
  </r>
  <r>
    <x v="10"/>
    <m/>
    <x v="15"/>
    <s v=""/>
    <s v=""/>
    <m/>
    <m/>
    <m/>
    <m/>
    <m/>
    <x v="3"/>
    <s v=""/>
    <m/>
    <x v="5"/>
    <m/>
    <m/>
    <m/>
    <m/>
    <m/>
    <m/>
    <s v=""/>
    <s v="ansia"/>
  </r>
  <r>
    <x v="10"/>
    <m/>
    <x v="15"/>
    <s v=""/>
    <s v=""/>
    <m/>
    <m/>
    <m/>
    <m/>
    <m/>
    <x v="3"/>
    <s v=""/>
    <m/>
    <x v="5"/>
    <m/>
    <m/>
    <m/>
    <m/>
    <m/>
    <m/>
    <s v=""/>
    <s v="ansia"/>
  </r>
  <r>
    <x v="10"/>
    <m/>
    <x v="15"/>
    <s v=""/>
    <s v=""/>
    <m/>
    <m/>
    <m/>
    <m/>
    <m/>
    <x v="3"/>
    <s v=""/>
    <m/>
    <x v="5"/>
    <m/>
    <m/>
    <m/>
    <m/>
    <m/>
    <m/>
    <s v=""/>
    <s v="ansia"/>
  </r>
  <r>
    <x v="10"/>
    <m/>
    <x v="15"/>
    <s v=""/>
    <s v=""/>
    <m/>
    <m/>
    <m/>
    <m/>
    <m/>
    <x v="3"/>
    <s v=""/>
    <m/>
    <x v="5"/>
    <m/>
    <m/>
    <m/>
    <m/>
    <m/>
    <m/>
    <s v=""/>
    <s v="ansia"/>
  </r>
  <r>
    <x v="10"/>
    <m/>
    <x v="15"/>
    <s v=""/>
    <s v=""/>
    <m/>
    <m/>
    <m/>
    <m/>
    <m/>
    <x v="3"/>
    <s v=""/>
    <m/>
    <x v="5"/>
    <m/>
    <m/>
    <m/>
    <m/>
    <m/>
    <m/>
    <s v=""/>
    <s v="ansia"/>
  </r>
  <r>
    <x v="10"/>
    <m/>
    <x v="15"/>
    <s v=""/>
    <s v=""/>
    <m/>
    <m/>
    <m/>
    <m/>
    <m/>
    <x v="3"/>
    <s v=""/>
    <m/>
    <x v="5"/>
    <m/>
    <m/>
    <m/>
    <m/>
    <m/>
    <m/>
    <s v=""/>
    <s v="ansia"/>
  </r>
  <r>
    <x v="10"/>
    <m/>
    <x v="15"/>
    <s v=""/>
    <s v=""/>
    <m/>
    <m/>
    <m/>
    <m/>
    <m/>
    <x v="3"/>
    <s v=""/>
    <m/>
    <x v="5"/>
    <m/>
    <m/>
    <m/>
    <m/>
    <m/>
    <m/>
    <s v=""/>
    <s v="ansia"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s v=""/>
    <s v=""/>
    <m/>
    <m/>
    <m/>
    <m/>
    <m/>
    <x v="3"/>
    <s v=""/>
    <m/>
    <x v="5"/>
    <m/>
    <m/>
    <m/>
    <m/>
    <m/>
    <m/>
    <s v=""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  <r>
    <x v="10"/>
    <m/>
    <x v="15"/>
    <m/>
    <m/>
    <m/>
    <m/>
    <m/>
    <m/>
    <m/>
    <x v="3"/>
    <m/>
    <m/>
    <x v="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9E70A-8702-461D-BA7A-7D4AAC64FCF0}" name="Tabella pivot6" cacheId="0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 chartFormat="4">
  <location ref="A37:D43" firstHeaderRow="1" firstDataRow="2" firstDataCol="1"/>
  <pivotFields count="24">
    <pivotField showAll="0">
      <items count="12">
        <item x="1"/>
        <item x="9"/>
        <item x="0"/>
        <item x="3"/>
        <item x="4"/>
        <item x="2"/>
        <item x="6"/>
        <item x="5"/>
        <item x="8"/>
        <item x="7"/>
        <item x="10"/>
        <item t="default"/>
      </items>
    </pivotField>
    <pivotField showAll="0"/>
    <pivotField showAll="0">
      <items count="22">
        <item x="8"/>
        <item x="9"/>
        <item x="6"/>
        <item m="1" x="18"/>
        <item x="10"/>
        <item x="2"/>
        <item x="11"/>
        <item m="1" x="20"/>
        <item x="12"/>
        <item x="0"/>
        <item x="3"/>
        <item m="1" x="17"/>
        <item m="1" x="19"/>
        <item x="13"/>
        <item m="1" x="16"/>
        <item x="1"/>
        <item x="14"/>
        <item x="7"/>
        <item x="5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axis="axisRow" showAll="0">
      <items count="7">
        <item x="4"/>
        <item x="2"/>
        <item x="1"/>
        <item x="0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Fields count="1">
    <field x="10"/>
  </colFields>
  <colItems count="3">
    <i>
      <x/>
    </i>
    <i>
      <x v="1"/>
    </i>
    <i>
      <x v="2"/>
    </i>
  </colItems>
  <dataFields count="1">
    <dataField name="Conteggio di Risultato" fld="10" subtotal="count" baseField="0" baseItem="0"/>
  </dataFields>
  <formats count="8"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10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13" type="button" dataOnly="0" labelOnly="1" outline="0" axis="axisRow" fieldPosition="0"/>
    </format>
    <format dxfId="14">
      <pivotArea dataOnly="0" labelOnly="1" fieldPosition="0">
        <references count="1">
          <reference field="13" count="0"/>
        </references>
      </pivotArea>
    </format>
    <format dxfId="13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</formats>
  <chartFormats count="7">
    <chartFormat chart="1" format="5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FA7E9-BEF2-497B-9D21-4738F7CD2435}" name="Tabella pivot2" cacheId="0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 chartFormat="36">
  <location ref="A20:D28" firstHeaderRow="1" firstDataRow="2" firstDataCol="1"/>
  <pivotFields count="24">
    <pivotField showAll="0"/>
    <pivotField showAll="0"/>
    <pivotField axis="axisRow" showAll="0">
      <items count="22">
        <item x="8"/>
        <item x="9"/>
        <item m="1" x="18"/>
        <item x="2"/>
        <item m="1" x="20"/>
        <item x="0"/>
        <item x="3"/>
        <item m="1" x="17"/>
        <item m="1" x="19"/>
        <item m="1" x="16"/>
        <item x="1"/>
        <item x="14"/>
        <item h="1" x="15"/>
        <item x="4"/>
        <item h="1" x="5"/>
        <item h="1" x="6"/>
        <item h="1" x="7"/>
        <item h="1" x="10"/>
        <item h="1" x="11"/>
        <item h="1" x="12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h="1" sd="0" x="61"/>
        <item t="default"/>
      </items>
    </pivotField>
    <pivotField axis="axisRow" showAll="0">
      <items count="27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h="1" sd="0" x="25"/>
        <item t="default"/>
      </items>
    </pivotField>
  </pivotFields>
  <rowFields count="3">
    <field x="23"/>
    <field x="22"/>
    <field x="2"/>
  </rowFields>
  <rowItems count="7">
    <i>
      <x v="7"/>
    </i>
    <i>
      <x v="8"/>
    </i>
    <i>
      <x v="9"/>
    </i>
    <i>
      <x v="12"/>
    </i>
    <i>
      <x v="17"/>
    </i>
    <i>
      <x v="21"/>
    </i>
    <i>
      <x v="24"/>
    </i>
  </rowItems>
  <colFields count="1">
    <field x="10"/>
  </colFields>
  <colItems count="3">
    <i>
      <x/>
    </i>
    <i>
      <x v="1"/>
    </i>
    <i>
      <x v="2"/>
    </i>
  </colItems>
  <dataFields count="1">
    <dataField name="Conteggio di Risultato" fld="10" subtotal="count" baseField="0" baseItem="0"/>
  </dataFields>
  <formats count="8"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0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23" type="button" dataOnly="0" labelOnly="1" outline="0" axis="axisRow" fieldPosition="0"/>
    </format>
    <format dxfId="22">
      <pivotArea dataOnly="0" labelOnly="1" fieldPosition="0">
        <references count="1">
          <reference field="23" count="7">
            <x v="7"/>
            <x v="8"/>
            <x v="9"/>
            <x v="12"/>
            <x v="17"/>
            <x v="21"/>
            <x v="24"/>
          </reference>
        </references>
      </pivotArea>
    </format>
    <format dxfId="21">
      <pivotArea dataOnly="0" labelOnly="1" fieldPosition="0">
        <references count="1">
          <reference field="10" count="0"/>
        </references>
      </pivotArea>
    </format>
  </formats>
  <chartFormats count="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3F7DF-BF43-4106-868E-863CADD56E5E}" name="Tabella pivot1" cacheId="0" applyNumberFormats="0" applyBorderFormats="0" applyFontFormats="0" applyPatternFormats="0" applyAlignmentFormats="0" applyWidthHeightFormats="1" dataCaption="Valori" grandTotalCaption="Totale" missingCaption="-" updatedVersion="8" minRefreshableVersion="3" useAutoFormatting="1" rowGrandTotals="0" itemPrintTitles="1" createdVersion="8" indent="0" outline="1" outlineData="1" multipleFieldFilters="0">
  <location ref="C1:G12" firstHeaderRow="1" firstDataRow="2" firstDataCol="1"/>
  <pivotFields count="24">
    <pivotField axis="axisRow" showAll="0">
      <items count="12">
        <item x="1"/>
        <item x="0"/>
        <item x="3"/>
        <item x="4"/>
        <item x="2"/>
        <item x="6"/>
        <item x="5"/>
        <item h="1" x="10"/>
        <item x="7"/>
        <item x="8"/>
        <item x="9"/>
        <item t="default"/>
      </items>
    </pivotField>
    <pivotField showAll="0"/>
    <pivotField showAll="0">
      <items count="22">
        <item x="8"/>
        <item x="9"/>
        <item m="1" x="18"/>
        <item x="2"/>
        <item m="1" x="20"/>
        <item x="0"/>
        <item x="3"/>
        <item m="1" x="17"/>
        <item m="1" x="19"/>
        <item m="1" x="16"/>
        <item x="1"/>
        <item x="14"/>
        <item x="15"/>
        <item x="4"/>
        <item x="5"/>
        <item x="6"/>
        <item x="7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nteggio di Risultato" fld="10" subtotal="count" baseField="0" baseItem="0"/>
  </dataFields>
  <formats count="43">
    <format dxfId="71">
      <pivotArea type="topRight" dataOnly="0" labelOnly="1" outline="0" offset="C1" fieldPosition="0"/>
    </format>
    <format dxfId="70">
      <pivotArea dataOnly="0" labelOnly="1" grandCol="1" outline="0" fieldPosition="0"/>
    </format>
    <format dxfId="69">
      <pivotArea type="origin" dataOnly="0" labelOnly="1" outline="0" fieldPosition="0"/>
    </format>
    <format dxfId="68">
      <pivotArea field="10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64">
      <pivotArea dataOnly="0" labelOnly="1" grandCol="1" outline="0" fieldPosition="0"/>
    </format>
    <format dxfId="63">
      <pivotArea type="origin" dataOnly="0" labelOnly="1" outline="0" fieldPosition="0"/>
    </format>
    <format dxfId="62">
      <pivotArea field="10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58">
      <pivotArea dataOnly="0" labelOnly="1" grandCol="1" outline="0" fieldPosition="0"/>
    </format>
    <format dxfId="57">
      <pivotArea type="topRight" dataOnly="0" labelOnly="1" outline="0" fieldPosition="0"/>
    </format>
    <format dxfId="56">
      <pivotArea dataOnly="0" labelOnly="1" fieldPosition="0">
        <references count="1">
          <reference field="10" count="1">
            <x v="2"/>
          </reference>
        </references>
      </pivotArea>
    </format>
    <format dxfId="55">
      <pivotArea dataOnly="0" labelOnly="1" grandCol="1" outline="0" fieldPosition="0"/>
    </format>
    <format dxfId="54">
      <pivotArea dataOnly="0" labelOnly="1" fieldPosition="0">
        <references count="1">
          <reference field="10" count="1">
            <x v="1"/>
          </reference>
        </references>
      </pivotArea>
    </format>
    <format dxfId="53">
      <pivotArea dataOnly="0" labelOnly="1" fieldPosition="0">
        <references count="1">
          <reference field="10" count="1">
            <x v="0"/>
          </reference>
        </references>
      </pivotArea>
    </format>
    <format dxfId="52">
      <pivotArea type="topRight" dataOnly="0" labelOnly="1" outline="0" offset="C1" fieldPosition="0"/>
    </format>
    <format dxfId="51">
      <pivotArea type="topRight" dataOnly="0" labelOnly="1" outline="0" offset="C1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48">
      <pivotArea dataOnly="0" labelOnly="1" grandCol="1" outline="0" fieldPosition="0"/>
    </format>
    <format dxfId="47">
      <pivotArea type="origin" dataOnly="0" labelOnly="1" outline="0" fieldPosition="0"/>
    </format>
    <format dxfId="46">
      <pivotArea field="10" type="button" dataOnly="0" labelOnly="1" outline="0" axis="axisCol" fieldPosition="0"/>
    </format>
    <format dxfId="45">
      <pivotArea grandCol="1" outline="0" collapsedLevelsAreSubtotals="1" fieldPosition="0"/>
    </format>
    <format dxfId="44">
      <pivotArea type="topRight" dataOnly="0" labelOnly="1" outline="0" offset="C1" fieldPosition="0"/>
    </format>
    <format dxfId="43">
      <pivotArea dataOnly="0" labelOnly="1" grandCol="1" outline="0" fieldPosition="0"/>
    </format>
    <format dxfId="42">
      <pivotArea outline="0" collapsedLevelsAreSubtotals="1" fieldPosition="0">
        <references count="1">
          <reference field="10" count="1" selected="0">
            <x v="2"/>
          </reference>
        </references>
      </pivotArea>
    </format>
    <format dxfId="41">
      <pivotArea grandCol="1" outline="0" collapsedLevelsAreSubtotals="1" fieldPosition="0"/>
    </format>
    <format dxfId="40">
      <pivotArea type="topRight" dataOnly="0" labelOnly="1" outline="0" offset="B1:C1" fieldPosition="0"/>
    </format>
    <format dxfId="39">
      <pivotArea dataOnly="0" labelOnly="1" fieldPosition="0">
        <references count="1">
          <reference field="10" count="1">
            <x v="2"/>
          </reference>
        </references>
      </pivotArea>
    </format>
    <format dxfId="38">
      <pivotArea dataOnly="0" labelOnly="1" grandCol="1" outline="0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10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29">
      <pivotArea dataOnly="0" labelOnly="1" grandCol="1" outline="0" fieldPosition="0"/>
    </format>
  </format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oppia___Cross" xr10:uid="{01AE6E1D-9585-432A-A9CC-BD58D9D5A573}" sourceName="Coppia / Cross">
  <pivotTables>
    <pivotTable tabId="2" name="Tabella pivot6"/>
  </pivotTables>
  <data>
    <tabular pivotCacheId="1608463169">
      <items count="11">
        <i x="1" s="1"/>
        <i x="0" s="1"/>
        <i x="3" s="1"/>
        <i x="4" s="1"/>
        <i x="2" s="1"/>
        <i x="6" s="1"/>
        <i x="5" s="1"/>
        <i x="9" s="1" nd="1"/>
        <i x="8" s="1" nd="1"/>
        <i x="7" s="1" nd="1"/>
        <i x="1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ppia / Cross" xr10:uid="{3B43108D-68CB-4BF8-B6A6-41955404CAA8}" cache="FiltroDati_Coppia___Cross" caption="Coppia / Cross" startItem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095673-7428-4EEF-9893-66F00822C904}" name="Tabella2" displayName="Tabella2" ref="A1:Y2145" totalsRowShown="0" headerRowDxfId="98" dataDxfId="97">
  <autoFilter ref="A1:Y2145" xr:uid="{41095673-7428-4EEF-9893-66F00822C904}"/>
  <tableColumns count="25">
    <tableColumn id="1" xr3:uid="{2163C5A1-21B4-47DF-8509-104863E3E00D}" name="Coppia / Cross" dataDxfId="96"/>
    <tableColumn id="2" xr3:uid="{E0505343-6CFC-45AF-BC13-585E89D177F5}" name="Data" dataDxfId="95"/>
    <tableColumn id="3" xr3:uid="{87F44B8E-FD0F-4277-B015-CF5AA7CB60A3}" name="Orario" dataDxfId="94"/>
    <tableColumn id="4" xr3:uid="{8C9FA78E-5DE6-4774-86D1-9D0C3A8B6175}" name="Mese" dataDxfId="93"/>
    <tableColumn id="5" xr3:uid="{DC21D91E-F293-4198-9BFF-A954D6699C1D}" name="Giorno settimana" dataDxfId="92"/>
    <tableColumn id="6" xr3:uid="{9BE97F7A-5B9A-491C-970E-224BFDACBBB4}" name="Direzione" dataDxfId="91"/>
    <tableColumn id="7" xr3:uid="{F37CC4C3-61E7-459F-9421-DFA61FAEE2F1}" name="RISCHIO %" dataDxfId="90"/>
    <tableColumn id="8" xr3:uid="{D9783337-2A33-4088-A2C1-3C1CAD15A0CD}" name="RR FINALE 1:" dataDxfId="89"/>
    <tableColumn id="9" xr3:uid="{FD45AC55-3802-423E-99C9-47BAE8AA5492}" name="Pips tp" dataDxfId="88"/>
    <tableColumn id="10" xr3:uid="{F4CD178A-54F6-4475-A0D5-8759DAE07D9C}" name="Pips stop loss" dataDxfId="87"/>
    <tableColumn id="11" xr3:uid="{19E6D92F-8009-4406-981C-8ABE424D7E6A}" name="Risultato" dataDxfId="86"/>
    <tableColumn id="12" xr3:uid="{A4015B7B-6A9C-4712-9563-7FC60FDD59DD}" name="Risultato %" dataDxfId="85"/>
    <tableColumn id="13" xr3:uid="{4782E99E-7E3F-451E-9EF5-598CE8F7646B}" name="Risultato valuta" dataDxfId="84"/>
    <tableColumn id="14" xr3:uid="{BAE9B0AA-DD38-47CD-80F9-F8E2BCC64749}" name="Tf d'entrata" dataDxfId="83"/>
    <tableColumn id="15" xr3:uid="{59CEA6D9-3920-4E29-BE9D-C59F6759746D}" name="SCREEN PRE" dataDxfId="82"/>
    <tableColumn id="16" xr3:uid="{E8DD60C4-5C06-48CB-A02D-84214AA80294}" name="SCREEN POST" dataDxfId="81"/>
    <tableColumn id="17" xr3:uid="{6AE2D702-6620-4CA8-8377-C99AE9F9EB82}" name="note" dataDxfId="80"/>
    <tableColumn id="19" xr3:uid="{8667E81D-1309-4943-BE01-6C1F4BAC1A6B}" name="PRO" dataDxfId="79"/>
    <tableColumn id="20" xr3:uid="{75052F01-80B8-4A34-8DCA-007212A0CF12}" name="CONTRO" dataDxfId="78"/>
    <tableColumn id="21" xr3:uid="{1D366D64-5D3F-435D-AF17-4771E69E4284}" name="EquityCurve" dataDxfId="77"/>
    <tableColumn id="22" xr3:uid="{B6C3B1A5-05EA-4027-AEBD-964FEB47CDFE}" name="Emozioni" dataDxfId="76"/>
    <tableColumn id="18" xr3:uid="{06B641E0-DBF9-4526-9FA2-CD0C52E86C78}" name="Tf allineati" dataDxfId="75"/>
    <tableColumn id="23" xr3:uid="{B273BC02-6CF1-45CA-8ADB-0AE98BDE0CBF}" name="Setup" dataDxfId="74"/>
    <tableColumn id="24" xr3:uid="{B99647D9-F4B4-4E36-8371-BD5C5D818D43}" name="% Sentiment" dataDxfId="73"/>
    <tableColumn id="25" xr3:uid="{2C5790A8-4B8D-4024-8DD3-4729D890864B}" name="Cot report" dataDxfId="7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9F06BD-8A6E-4328-B1D3-5A319777B132}" name="Tabella3" displayName="Tabella3" ref="A29:C36" totalsRowShown="0" headerRowDxfId="12" dataDxfId="11">
  <autoFilter ref="A29:C36" xr:uid="{959F06BD-8A6E-4328-B1D3-5A319777B132}"/>
  <tableColumns count="3">
    <tableColumn id="1" xr3:uid="{1EF9CCF2-5A96-462F-BD1A-44C9099A97A4}" name="Emozione" dataDxfId="10"/>
    <tableColumn id="2" xr3:uid="{081B13A9-3C2A-4E74-8896-B824A64C9A84}" name="Numero" dataDxfId="9"/>
    <tableColumn id="3" xr3:uid="{1734F7DD-3E62-4503-8A5B-36A5E5BEDF1E}" name="Risultato Medio %" dataDxfId="8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68C596-16AC-4FA0-ADA9-F447CAD87465}" name="Tabella5" displayName="Tabella5" ref="A16:D19" totalsRowShown="0" headerRowDxfId="7" dataDxfId="6">
  <autoFilter ref="A16:D19" xr:uid="{2968C596-16AC-4FA0-ADA9-F447CAD87465}"/>
  <tableColumns count="4">
    <tableColumn id="1" xr3:uid="{49A46A71-9415-4F41-8D57-039255606E26}" name="Colonna1" dataDxfId="5"/>
    <tableColumn id="2" xr3:uid="{FE944C9C-9F7B-4897-90C5-EED44355341C}" name="Numero Operazioni" dataDxfId="4"/>
    <tableColumn id="3" xr3:uid="{E6A9372E-D77D-48F3-848F-3474D1082E54}" name="Risultato Medio %" dataDxfId="3"/>
    <tableColumn id="4" xr3:uid="{34CE3130-26BE-4FF6-9919-5BE53570FE1B}" name="Profit Factor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radingview.com/x/B0kTAu4P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01"/>
  <sheetViews>
    <sheetView tabSelected="1" workbookViewId="0">
      <pane ySplit="1" topLeftCell="A2" activePane="bottomLeft" state="frozen"/>
      <selection pane="bottomLeft" activeCell="Y1" sqref="X1:Y1048576"/>
    </sheetView>
  </sheetViews>
  <sheetFormatPr defaultRowHeight="15" x14ac:dyDescent="0.25"/>
  <cols>
    <col min="1" max="1" width="19.28515625" style="2" customWidth="1"/>
    <col min="2" max="2" width="17.28515625" style="3" bestFit="1" customWidth="1"/>
    <col min="3" max="3" width="11.140625" style="7" bestFit="1" customWidth="1"/>
    <col min="4" max="4" width="10.5703125" style="38" bestFit="1" customWidth="1"/>
    <col min="5" max="5" width="21.140625" style="38" bestFit="1" customWidth="1"/>
    <col min="6" max="6" width="14.140625" style="2" bestFit="1" customWidth="1"/>
    <col min="7" max="7" width="14.7109375" style="4" bestFit="1" customWidth="1"/>
    <col min="8" max="8" width="16.42578125" style="2" bestFit="1" customWidth="1"/>
    <col min="9" max="9" width="11.5703125" style="2" bestFit="1" customWidth="1"/>
    <col min="10" max="10" width="17.42578125" style="2" bestFit="1" customWidth="1"/>
    <col min="11" max="11" width="13.42578125" style="2" bestFit="1" customWidth="1"/>
    <col min="12" max="12" width="15.42578125" style="39" bestFit="1" customWidth="1"/>
    <col min="13" max="13" width="19.42578125" style="9" bestFit="1" customWidth="1"/>
    <col min="14" max="14" width="15.85546875" style="2" bestFit="1" customWidth="1"/>
    <col min="15" max="15" width="41.28515625" style="2" bestFit="1" customWidth="1"/>
    <col min="16" max="16" width="17.28515625" style="2" bestFit="1" customWidth="1"/>
    <col min="17" max="17" width="17.85546875" style="2" customWidth="1"/>
    <col min="18" max="18" width="9.28515625" style="2" bestFit="1" customWidth="1"/>
    <col min="19" max="19" width="13.140625" style="2" bestFit="1" customWidth="1"/>
    <col min="20" max="20" width="16.28515625" style="39" bestFit="1" customWidth="1"/>
    <col min="21" max="21" width="11.28515625" style="2" customWidth="1"/>
    <col min="22" max="22" width="15" style="2" bestFit="1" customWidth="1"/>
    <col min="23" max="23" width="10.7109375" style="2" bestFit="1" customWidth="1"/>
    <col min="24" max="24" width="16.85546875" style="2" bestFit="1" customWidth="1"/>
    <col min="25" max="25" width="14.5703125" style="2" bestFit="1" customWidth="1"/>
    <col min="26" max="26" width="5.7109375" style="2" customWidth="1"/>
    <col min="27" max="27" width="9.7109375" style="2" bestFit="1" customWidth="1"/>
    <col min="28" max="29" width="9.140625" style="2"/>
    <col min="30" max="30" width="6.42578125" style="2" customWidth="1"/>
    <col min="31" max="16384" width="9.140625" style="2"/>
  </cols>
  <sheetData>
    <row r="1" spans="1:30" x14ac:dyDescent="0.25">
      <c r="A1" s="10" t="s">
        <v>0</v>
      </c>
      <c r="B1" s="11" t="s">
        <v>1</v>
      </c>
      <c r="C1" s="12" t="s">
        <v>2</v>
      </c>
      <c r="D1" s="43" t="s">
        <v>3</v>
      </c>
      <c r="E1" s="43" t="s">
        <v>4</v>
      </c>
      <c r="F1" s="10" t="s">
        <v>5</v>
      </c>
      <c r="G1" s="13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42" t="s">
        <v>11</v>
      </c>
      <c r="M1" s="41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40" t="s">
        <v>19</v>
      </c>
      <c r="U1" s="14" t="s">
        <v>20</v>
      </c>
      <c r="V1" s="17" t="s">
        <v>73</v>
      </c>
      <c r="W1" s="18" t="s">
        <v>76</v>
      </c>
      <c r="X1" s="18" t="s">
        <v>75</v>
      </c>
      <c r="Y1" s="18" t="s">
        <v>74</v>
      </c>
    </row>
    <row r="2" spans="1:30" ht="30" x14ac:dyDescent="0.25">
      <c r="A2" t="s">
        <v>60</v>
      </c>
      <c r="B2" s="3">
        <v>45975</v>
      </c>
      <c r="C2" s="6">
        <v>0.60416666666666663</v>
      </c>
      <c r="D2" s="38" t="str">
        <f t="shared" ref="D2:D65" si="0">IF($B2="", "", CHOOSE(MONTH($B2), "Gennaio","Febbraio","Marzo","Aprile","Maggio","Giugno","Luglio","Agosto","Settembre","Ottobre","Novembre","Dicembre"))</f>
        <v>Novembre</v>
      </c>
      <c r="E2" s="38" t="str">
        <f t="shared" ref="E2:E65" si="1">IF($B2="", "", CHOOSE(WEEKDAY($B2,2), "Lunedì","Martedì","Mercoledì","Giovedì","Venerdì","Sabato","Domenica"))</f>
        <v>Venerdì</v>
      </c>
      <c r="F2" t="s">
        <v>22</v>
      </c>
      <c r="G2" s="1">
        <v>5.0000000000000001E-3</v>
      </c>
      <c r="H2" s="5">
        <v>3.5</v>
      </c>
      <c r="I2" s="2">
        <v>35</v>
      </c>
      <c r="J2" s="2">
        <v>10</v>
      </c>
      <c r="K2" t="s">
        <v>26</v>
      </c>
      <c r="L2" s="39">
        <f t="shared" ref="L2:L65" si="2">IF($K2="Target", $G2*$H2, IF($K2="Stop Loss", -$G2, IF($K2="Breakeven", 0, "")))</f>
        <v>1.7500000000000002E-2</v>
      </c>
      <c r="M2" s="8">
        <v>175</v>
      </c>
      <c r="N2" t="s">
        <v>71</v>
      </c>
      <c r="O2" s="54" t="s">
        <v>90</v>
      </c>
      <c r="Q2" s="2" t="s">
        <v>89</v>
      </c>
      <c r="T2" s="39">
        <f>IF($L2="", "", $L2)</f>
        <v>1.7500000000000002E-2</v>
      </c>
      <c r="U2"/>
      <c r="W2" s="2" t="s">
        <v>91</v>
      </c>
    </row>
    <row r="3" spans="1:30" x14ac:dyDescent="0.25">
      <c r="A3"/>
      <c r="C3" s="6"/>
      <c r="D3" s="38" t="str">
        <f t="shared" si="0"/>
        <v/>
      </c>
      <c r="E3" s="38" t="str">
        <f t="shared" si="1"/>
        <v/>
      </c>
      <c r="F3"/>
      <c r="G3" s="1"/>
      <c r="H3" s="5"/>
      <c r="K3"/>
      <c r="L3" s="39" t="str">
        <f t="shared" si="2"/>
        <v/>
      </c>
      <c r="M3" s="8"/>
      <c r="N3"/>
      <c r="T3" s="39" t="str">
        <f t="shared" ref="T3:T66" si="3">IF($L3="", "", $T2 + $L3)</f>
        <v/>
      </c>
      <c r="U3"/>
    </row>
    <row r="4" spans="1:30" x14ac:dyDescent="0.25">
      <c r="A4"/>
      <c r="C4" s="6"/>
      <c r="D4" s="38" t="str">
        <f t="shared" si="0"/>
        <v/>
      </c>
      <c r="E4" s="38" t="str">
        <f t="shared" si="1"/>
        <v/>
      </c>
      <c r="F4"/>
      <c r="G4" s="1"/>
      <c r="H4" s="5"/>
      <c r="K4"/>
      <c r="L4" s="39" t="str">
        <f t="shared" si="2"/>
        <v/>
      </c>
      <c r="M4" s="8"/>
      <c r="N4"/>
      <c r="T4" s="39" t="str">
        <f t="shared" si="3"/>
        <v/>
      </c>
      <c r="U4"/>
    </row>
    <row r="5" spans="1:30" x14ac:dyDescent="0.25">
      <c r="A5"/>
      <c r="C5" s="6"/>
      <c r="D5" s="38" t="str">
        <f t="shared" si="0"/>
        <v/>
      </c>
      <c r="E5" s="38" t="str">
        <f t="shared" si="1"/>
        <v/>
      </c>
      <c r="F5"/>
      <c r="G5" s="1"/>
      <c r="H5" s="5"/>
      <c r="K5"/>
      <c r="L5" s="39" t="str">
        <f t="shared" si="2"/>
        <v/>
      </c>
      <c r="M5" s="8"/>
      <c r="N5"/>
      <c r="T5" s="39" t="str">
        <f t="shared" si="3"/>
        <v/>
      </c>
      <c r="U5"/>
    </row>
    <row r="6" spans="1:30" x14ac:dyDescent="0.25">
      <c r="A6"/>
      <c r="C6" s="6"/>
      <c r="D6" s="38" t="str">
        <f t="shared" si="0"/>
        <v/>
      </c>
      <c r="E6" s="38" t="str">
        <f t="shared" si="1"/>
        <v/>
      </c>
      <c r="F6"/>
      <c r="G6" s="1"/>
      <c r="H6" s="5"/>
      <c r="K6"/>
      <c r="L6" s="39" t="str">
        <f t="shared" si="2"/>
        <v/>
      </c>
      <c r="M6" s="8"/>
      <c r="N6"/>
      <c r="T6" s="39" t="str">
        <f t="shared" si="3"/>
        <v/>
      </c>
      <c r="U6"/>
    </row>
    <row r="7" spans="1:30" ht="15.75" thickBot="1" x14ac:dyDescent="0.3">
      <c r="A7"/>
      <c r="C7" s="6"/>
      <c r="D7" s="38" t="str">
        <f t="shared" si="0"/>
        <v/>
      </c>
      <c r="E7" s="38" t="str">
        <f t="shared" si="1"/>
        <v/>
      </c>
      <c r="F7"/>
      <c r="G7" s="1"/>
      <c r="H7" s="5"/>
      <c r="K7"/>
      <c r="L7" s="39" t="str">
        <f t="shared" si="2"/>
        <v/>
      </c>
      <c r="M7" s="8"/>
      <c r="N7"/>
      <c r="T7" s="39" t="str">
        <f t="shared" si="3"/>
        <v/>
      </c>
      <c r="U7"/>
      <c r="Z7" s="44"/>
      <c r="AA7" s="44"/>
      <c r="AB7" s="44"/>
      <c r="AC7" s="44"/>
      <c r="AD7" s="44"/>
    </row>
    <row r="8" spans="1:30" ht="15" customHeight="1" x14ac:dyDescent="0.25">
      <c r="A8"/>
      <c r="C8" s="6"/>
      <c r="D8" s="38" t="str">
        <f t="shared" si="0"/>
        <v/>
      </c>
      <c r="E8" s="38" t="str">
        <f t="shared" si="1"/>
        <v/>
      </c>
      <c r="F8"/>
      <c r="G8" s="1"/>
      <c r="H8" s="5"/>
      <c r="K8"/>
      <c r="L8" s="39" t="str">
        <f t="shared" si="2"/>
        <v/>
      </c>
      <c r="M8" s="8"/>
      <c r="N8"/>
      <c r="T8" s="39" t="str">
        <f t="shared" si="3"/>
        <v/>
      </c>
      <c r="U8"/>
      <c r="Z8" s="44"/>
      <c r="AA8" s="45" t="s">
        <v>88</v>
      </c>
      <c r="AB8" s="46"/>
      <c r="AC8" s="47"/>
      <c r="AD8" s="44"/>
    </row>
    <row r="9" spans="1:30" x14ac:dyDescent="0.25">
      <c r="A9"/>
      <c r="C9" s="6"/>
      <c r="D9" s="38" t="str">
        <f t="shared" si="0"/>
        <v/>
      </c>
      <c r="E9" s="38" t="str">
        <f t="shared" si="1"/>
        <v/>
      </c>
      <c r="F9"/>
      <c r="G9" s="1"/>
      <c r="H9" s="5"/>
      <c r="K9"/>
      <c r="L9" s="39" t="str">
        <f t="shared" si="2"/>
        <v/>
      </c>
      <c r="M9" s="8"/>
      <c r="N9"/>
      <c r="T9" s="39" t="str">
        <f t="shared" si="3"/>
        <v/>
      </c>
      <c r="U9"/>
      <c r="Z9" s="44"/>
      <c r="AA9" s="48"/>
      <c r="AB9" s="49"/>
      <c r="AC9" s="50"/>
      <c r="AD9" s="44"/>
    </row>
    <row r="10" spans="1:30" x14ac:dyDescent="0.25">
      <c r="A10"/>
      <c r="C10" s="6"/>
      <c r="D10" s="38" t="str">
        <f t="shared" si="0"/>
        <v/>
      </c>
      <c r="E10" s="38" t="str">
        <f t="shared" si="1"/>
        <v/>
      </c>
      <c r="F10"/>
      <c r="G10" s="1"/>
      <c r="H10" s="5"/>
      <c r="K10"/>
      <c r="L10" s="39" t="str">
        <f t="shared" si="2"/>
        <v/>
      </c>
      <c r="M10" s="8"/>
      <c r="N10"/>
      <c r="T10" s="39" t="str">
        <f t="shared" si="3"/>
        <v/>
      </c>
      <c r="U10"/>
      <c r="Z10" s="44"/>
      <c r="AA10" s="48"/>
      <c r="AB10" s="49"/>
      <c r="AC10" s="50"/>
      <c r="AD10" s="44"/>
    </row>
    <row r="11" spans="1:30" x14ac:dyDescent="0.25">
      <c r="A11"/>
      <c r="C11" s="6"/>
      <c r="D11" s="38" t="str">
        <f t="shared" si="0"/>
        <v/>
      </c>
      <c r="E11" s="38" t="str">
        <f t="shared" si="1"/>
        <v/>
      </c>
      <c r="F11"/>
      <c r="G11" s="1"/>
      <c r="H11" s="5"/>
      <c r="K11"/>
      <c r="L11" s="39" t="str">
        <f t="shared" si="2"/>
        <v/>
      </c>
      <c r="M11" s="8"/>
      <c r="N11"/>
      <c r="T11" s="39" t="str">
        <f t="shared" si="3"/>
        <v/>
      </c>
      <c r="U11"/>
      <c r="Z11" s="44"/>
      <c r="AA11" s="48"/>
      <c r="AB11" s="49"/>
      <c r="AC11" s="50"/>
      <c r="AD11" s="44"/>
    </row>
    <row r="12" spans="1:30" x14ac:dyDescent="0.25">
      <c r="D12" s="38" t="str">
        <f t="shared" si="0"/>
        <v/>
      </c>
      <c r="E12" s="38" t="str">
        <f t="shared" si="1"/>
        <v/>
      </c>
      <c r="L12" s="39" t="str">
        <f t="shared" si="2"/>
        <v/>
      </c>
      <c r="T12" s="39" t="str">
        <f t="shared" si="3"/>
        <v/>
      </c>
      <c r="U12"/>
      <c r="Z12" s="44"/>
      <c r="AA12" s="48"/>
      <c r="AB12" s="49"/>
      <c r="AC12" s="50"/>
      <c r="AD12" s="44"/>
    </row>
    <row r="13" spans="1:30" x14ac:dyDescent="0.25">
      <c r="D13" s="38" t="str">
        <f t="shared" si="0"/>
        <v/>
      </c>
      <c r="E13" s="38" t="str">
        <f t="shared" si="1"/>
        <v/>
      </c>
      <c r="G13" s="1"/>
      <c r="H13" s="5"/>
      <c r="K13"/>
      <c r="L13" s="39" t="str">
        <f t="shared" si="2"/>
        <v/>
      </c>
      <c r="T13" s="39" t="str">
        <f t="shared" si="3"/>
        <v/>
      </c>
      <c r="U13"/>
      <c r="Z13" s="44"/>
      <c r="AA13" s="48"/>
      <c r="AB13" s="49"/>
      <c r="AC13" s="50"/>
      <c r="AD13" s="44"/>
    </row>
    <row r="14" spans="1:30" ht="15.75" thickBot="1" x14ac:dyDescent="0.3">
      <c r="C14" s="6"/>
      <c r="D14" s="38" t="str">
        <f t="shared" si="0"/>
        <v/>
      </c>
      <c r="E14" s="38" t="str">
        <f t="shared" si="1"/>
        <v/>
      </c>
      <c r="G14" s="1"/>
      <c r="H14" s="5"/>
      <c r="K14"/>
      <c r="L14" s="39" t="str">
        <f t="shared" si="2"/>
        <v/>
      </c>
      <c r="T14" s="39" t="str">
        <f t="shared" si="3"/>
        <v/>
      </c>
      <c r="U14"/>
      <c r="Z14" s="44"/>
      <c r="AA14" s="51"/>
      <c r="AB14" s="52"/>
      <c r="AC14" s="53"/>
      <c r="AD14" s="44"/>
    </row>
    <row r="15" spans="1:30" x14ac:dyDescent="0.25">
      <c r="C15" s="6"/>
      <c r="D15" s="38" t="str">
        <f t="shared" si="0"/>
        <v/>
      </c>
      <c r="E15" s="38" t="str">
        <f t="shared" si="1"/>
        <v/>
      </c>
      <c r="F15"/>
      <c r="G15" s="1"/>
      <c r="H15" s="5"/>
      <c r="K15"/>
      <c r="L15" s="39" t="str">
        <f t="shared" si="2"/>
        <v/>
      </c>
      <c r="T15" s="39" t="str">
        <f t="shared" si="3"/>
        <v/>
      </c>
      <c r="U15"/>
      <c r="Z15" s="44"/>
      <c r="AA15" s="44"/>
      <c r="AB15" s="44"/>
      <c r="AC15" s="44"/>
      <c r="AD15" s="44"/>
    </row>
    <row r="16" spans="1:30" x14ac:dyDescent="0.25">
      <c r="C16" s="6"/>
      <c r="D16" s="38" t="str">
        <f t="shared" si="0"/>
        <v/>
      </c>
      <c r="E16" s="38" t="str">
        <f t="shared" si="1"/>
        <v/>
      </c>
      <c r="F16"/>
      <c r="G16" s="1"/>
      <c r="H16" s="5"/>
      <c r="K16"/>
      <c r="L16" s="39" t="str">
        <f t="shared" si="2"/>
        <v/>
      </c>
      <c r="T16" s="39" t="str">
        <f t="shared" si="3"/>
        <v/>
      </c>
      <c r="U16"/>
    </row>
    <row r="17" spans="3:21" x14ac:dyDescent="0.25">
      <c r="C17" s="6"/>
      <c r="D17" s="38" t="str">
        <f t="shared" si="0"/>
        <v/>
      </c>
      <c r="E17" s="38" t="str">
        <f t="shared" si="1"/>
        <v/>
      </c>
      <c r="F17"/>
      <c r="G17" s="1"/>
      <c r="K17"/>
      <c r="L17" s="39" t="str">
        <f t="shared" si="2"/>
        <v/>
      </c>
      <c r="T17" s="39" t="str">
        <f t="shared" si="3"/>
        <v/>
      </c>
      <c r="U17"/>
    </row>
    <row r="18" spans="3:21" x14ac:dyDescent="0.25">
      <c r="C18" s="6"/>
      <c r="D18" s="38" t="str">
        <f t="shared" si="0"/>
        <v/>
      </c>
      <c r="E18" s="38" t="str">
        <f t="shared" si="1"/>
        <v/>
      </c>
      <c r="F18"/>
      <c r="H18" s="5"/>
      <c r="K18"/>
      <c r="L18" s="39" t="str">
        <f t="shared" si="2"/>
        <v/>
      </c>
      <c r="T18" s="39" t="str">
        <f t="shared" si="3"/>
        <v/>
      </c>
      <c r="U18"/>
    </row>
    <row r="19" spans="3:21" x14ac:dyDescent="0.25">
      <c r="C19" s="6"/>
      <c r="D19" s="38" t="str">
        <f t="shared" si="0"/>
        <v/>
      </c>
      <c r="E19" s="38" t="str">
        <f t="shared" si="1"/>
        <v/>
      </c>
      <c r="G19" s="1"/>
      <c r="H19" s="5"/>
      <c r="K19"/>
      <c r="L19" s="39" t="str">
        <f t="shared" si="2"/>
        <v/>
      </c>
      <c r="T19" s="39" t="str">
        <f t="shared" si="3"/>
        <v/>
      </c>
      <c r="U19"/>
    </row>
    <row r="20" spans="3:21" x14ac:dyDescent="0.25">
      <c r="C20" s="6"/>
      <c r="D20" s="38" t="str">
        <f t="shared" si="0"/>
        <v/>
      </c>
      <c r="E20" s="38" t="str">
        <f t="shared" si="1"/>
        <v/>
      </c>
      <c r="G20" s="1"/>
      <c r="H20" s="5"/>
      <c r="K20"/>
      <c r="L20" s="39" t="str">
        <f t="shared" si="2"/>
        <v/>
      </c>
      <c r="T20" s="39" t="str">
        <f t="shared" si="3"/>
        <v/>
      </c>
      <c r="U20"/>
    </row>
    <row r="21" spans="3:21" x14ac:dyDescent="0.25">
      <c r="C21" s="6"/>
      <c r="D21" s="38" t="str">
        <f t="shared" si="0"/>
        <v/>
      </c>
      <c r="E21" s="38" t="str">
        <f t="shared" si="1"/>
        <v/>
      </c>
      <c r="G21" s="1"/>
      <c r="H21" s="5"/>
      <c r="K21"/>
      <c r="L21" s="39" t="str">
        <f t="shared" si="2"/>
        <v/>
      </c>
      <c r="T21" s="39" t="str">
        <f t="shared" si="3"/>
        <v/>
      </c>
      <c r="U21"/>
    </row>
    <row r="22" spans="3:21" x14ac:dyDescent="0.25">
      <c r="C22" s="6"/>
      <c r="D22" s="38" t="str">
        <f t="shared" si="0"/>
        <v/>
      </c>
      <c r="E22" s="38" t="str">
        <f t="shared" si="1"/>
        <v/>
      </c>
      <c r="F22"/>
      <c r="G22" s="1"/>
      <c r="K22"/>
      <c r="L22" s="39" t="str">
        <f t="shared" si="2"/>
        <v/>
      </c>
      <c r="T22" s="39" t="str">
        <f t="shared" si="3"/>
        <v/>
      </c>
      <c r="U22"/>
    </row>
    <row r="23" spans="3:21" x14ac:dyDescent="0.25">
      <c r="C23" s="6"/>
      <c r="D23" s="38" t="str">
        <f t="shared" si="0"/>
        <v/>
      </c>
      <c r="E23" s="38" t="str">
        <f t="shared" si="1"/>
        <v/>
      </c>
      <c r="F23"/>
      <c r="G23" s="1"/>
      <c r="H23" s="5"/>
      <c r="L23" s="39" t="str">
        <f t="shared" si="2"/>
        <v/>
      </c>
      <c r="T23" s="39" t="str">
        <f t="shared" si="3"/>
        <v/>
      </c>
      <c r="U23"/>
    </row>
    <row r="24" spans="3:21" x14ac:dyDescent="0.25">
      <c r="D24" s="38" t="str">
        <f t="shared" si="0"/>
        <v/>
      </c>
      <c r="E24" s="38" t="str">
        <f t="shared" si="1"/>
        <v/>
      </c>
      <c r="F24"/>
      <c r="H24" s="5"/>
      <c r="K24"/>
      <c r="L24" s="39" t="str">
        <f t="shared" si="2"/>
        <v/>
      </c>
      <c r="T24" s="39" t="str">
        <f t="shared" si="3"/>
        <v/>
      </c>
      <c r="U24"/>
    </row>
    <row r="25" spans="3:21" x14ac:dyDescent="0.25">
      <c r="D25" s="38" t="str">
        <f t="shared" si="0"/>
        <v/>
      </c>
      <c r="E25" s="38" t="str">
        <f t="shared" si="1"/>
        <v/>
      </c>
      <c r="F25"/>
      <c r="G25" s="1"/>
      <c r="H25" s="5"/>
      <c r="K25"/>
      <c r="L25" s="39" t="str">
        <f t="shared" si="2"/>
        <v/>
      </c>
      <c r="T25" s="39" t="str">
        <f t="shared" si="3"/>
        <v/>
      </c>
      <c r="U25"/>
    </row>
    <row r="26" spans="3:21" x14ac:dyDescent="0.25">
      <c r="C26" s="6"/>
      <c r="D26" s="38" t="str">
        <f t="shared" si="0"/>
        <v/>
      </c>
      <c r="E26" s="38" t="str">
        <f t="shared" si="1"/>
        <v/>
      </c>
      <c r="G26" s="1"/>
      <c r="H26" s="5"/>
      <c r="K26"/>
      <c r="L26" s="39" t="str">
        <f t="shared" si="2"/>
        <v/>
      </c>
      <c r="T26" s="39" t="str">
        <f t="shared" si="3"/>
        <v/>
      </c>
      <c r="U26"/>
    </row>
    <row r="27" spans="3:21" x14ac:dyDescent="0.25">
      <c r="C27" s="6"/>
      <c r="D27" s="38" t="str">
        <f t="shared" si="0"/>
        <v/>
      </c>
      <c r="E27" s="38" t="str">
        <f t="shared" si="1"/>
        <v/>
      </c>
      <c r="G27" s="1"/>
      <c r="K27"/>
      <c r="L27" s="39" t="str">
        <f t="shared" si="2"/>
        <v/>
      </c>
      <c r="T27" s="39" t="str">
        <f t="shared" si="3"/>
        <v/>
      </c>
      <c r="U27"/>
    </row>
    <row r="28" spans="3:21" x14ac:dyDescent="0.25">
      <c r="C28" s="6"/>
      <c r="D28" s="38" t="str">
        <f t="shared" si="0"/>
        <v/>
      </c>
      <c r="E28" s="38" t="str">
        <f t="shared" si="1"/>
        <v/>
      </c>
      <c r="G28" s="1"/>
      <c r="H28" s="5"/>
      <c r="K28"/>
      <c r="L28" s="39" t="str">
        <f t="shared" si="2"/>
        <v/>
      </c>
      <c r="T28" s="39" t="str">
        <f t="shared" si="3"/>
        <v/>
      </c>
      <c r="U28"/>
    </row>
    <row r="29" spans="3:21" x14ac:dyDescent="0.25">
      <c r="C29" s="6"/>
      <c r="D29" s="38" t="str">
        <f t="shared" si="0"/>
        <v/>
      </c>
      <c r="E29" s="38" t="str">
        <f t="shared" si="1"/>
        <v/>
      </c>
      <c r="F29"/>
      <c r="G29" s="1"/>
      <c r="H29" s="5"/>
      <c r="K29"/>
      <c r="L29" s="39" t="str">
        <f t="shared" si="2"/>
        <v/>
      </c>
      <c r="T29" s="39" t="str">
        <f t="shared" si="3"/>
        <v/>
      </c>
      <c r="U29"/>
    </row>
    <row r="30" spans="3:21" x14ac:dyDescent="0.25">
      <c r="D30" s="38" t="str">
        <f t="shared" si="0"/>
        <v/>
      </c>
      <c r="E30" s="38" t="str">
        <f t="shared" si="1"/>
        <v/>
      </c>
      <c r="G30" s="1"/>
      <c r="L30" s="39" t="str">
        <f t="shared" si="2"/>
        <v/>
      </c>
      <c r="T30" s="39" t="str">
        <f t="shared" si="3"/>
        <v/>
      </c>
    </row>
    <row r="31" spans="3:21" x14ac:dyDescent="0.25">
      <c r="D31" s="38" t="str">
        <f t="shared" si="0"/>
        <v/>
      </c>
      <c r="E31" s="38" t="str">
        <f t="shared" si="1"/>
        <v/>
      </c>
      <c r="G31" s="1"/>
      <c r="L31" s="39" t="str">
        <f t="shared" si="2"/>
        <v/>
      </c>
      <c r="T31" s="39" t="str">
        <f t="shared" si="3"/>
        <v/>
      </c>
    </row>
    <row r="32" spans="3:21" x14ac:dyDescent="0.25">
      <c r="D32" s="38" t="str">
        <f t="shared" si="0"/>
        <v/>
      </c>
      <c r="E32" s="38" t="str">
        <f t="shared" si="1"/>
        <v/>
      </c>
      <c r="G32" s="1"/>
      <c r="L32" s="39" t="str">
        <f t="shared" si="2"/>
        <v/>
      </c>
      <c r="T32" s="39" t="str">
        <f t="shared" si="3"/>
        <v/>
      </c>
    </row>
    <row r="33" spans="4:20" x14ac:dyDescent="0.25">
      <c r="D33" s="38" t="str">
        <f t="shared" si="0"/>
        <v/>
      </c>
      <c r="E33" s="38" t="str">
        <f t="shared" si="1"/>
        <v/>
      </c>
      <c r="G33" s="1"/>
      <c r="L33" s="39" t="str">
        <f t="shared" si="2"/>
        <v/>
      </c>
      <c r="T33" s="39" t="str">
        <f t="shared" si="3"/>
        <v/>
      </c>
    </row>
    <row r="34" spans="4:20" x14ac:dyDescent="0.25">
      <c r="D34" s="38" t="str">
        <f t="shared" si="0"/>
        <v/>
      </c>
      <c r="E34" s="38" t="str">
        <f t="shared" si="1"/>
        <v/>
      </c>
      <c r="G34" s="1"/>
      <c r="L34" s="39" t="str">
        <f t="shared" si="2"/>
        <v/>
      </c>
      <c r="T34" s="39" t="str">
        <f t="shared" si="3"/>
        <v/>
      </c>
    </row>
    <row r="35" spans="4:20" x14ac:dyDescent="0.25">
      <c r="D35" s="38" t="str">
        <f t="shared" si="0"/>
        <v/>
      </c>
      <c r="E35" s="38" t="str">
        <f t="shared" si="1"/>
        <v/>
      </c>
      <c r="G35" s="1"/>
      <c r="L35" s="39" t="str">
        <f t="shared" si="2"/>
        <v/>
      </c>
      <c r="T35" s="39" t="str">
        <f t="shared" si="3"/>
        <v/>
      </c>
    </row>
    <row r="36" spans="4:20" x14ac:dyDescent="0.25">
      <c r="D36" s="38" t="str">
        <f t="shared" si="0"/>
        <v/>
      </c>
      <c r="E36" s="38" t="str">
        <f t="shared" si="1"/>
        <v/>
      </c>
      <c r="G36" s="1"/>
      <c r="L36" s="39" t="str">
        <f t="shared" si="2"/>
        <v/>
      </c>
      <c r="T36" s="39" t="str">
        <f t="shared" si="3"/>
        <v/>
      </c>
    </row>
    <row r="37" spans="4:20" x14ac:dyDescent="0.25">
      <c r="D37" s="38" t="str">
        <f t="shared" si="0"/>
        <v/>
      </c>
      <c r="E37" s="38" t="str">
        <f t="shared" si="1"/>
        <v/>
      </c>
      <c r="G37" s="1"/>
      <c r="L37" s="39" t="str">
        <f t="shared" si="2"/>
        <v/>
      </c>
      <c r="T37" s="39" t="str">
        <f t="shared" si="3"/>
        <v/>
      </c>
    </row>
    <row r="38" spans="4:20" x14ac:dyDescent="0.25">
      <c r="D38" s="38" t="str">
        <f t="shared" si="0"/>
        <v/>
      </c>
      <c r="E38" s="38" t="str">
        <f t="shared" si="1"/>
        <v/>
      </c>
      <c r="G38" s="1"/>
      <c r="L38" s="39" t="str">
        <f t="shared" si="2"/>
        <v/>
      </c>
      <c r="T38" s="39" t="str">
        <f t="shared" si="3"/>
        <v/>
      </c>
    </row>
    <row r="39" spans="4:20" x14ac:dyDescent="0.25">
      <c r="D39" s="38" t="str">
        <f t="shared" si="0"/>
        <v/>
      </c>
      <c r="E39" s="38" t="str">
        <f t="shared" si="1"/>
        <v/>
      </c>
      <c r="G39" s="1"/>
      <c r="L39" s="39" t="str">
        <f t="shared" si="2"/>
        <v/>
      </c>
      <c r="T39" s="39" t="str">
        <f t="shared" si="3"/>
        <v/>
      </c>
    </row>
    <row r="40" spans="4:20" x14ac:dyDescent="0.25">
      <c r="D40" s="38" t="str">
        <f t="shared" si="0"/>
        <v/>
      </c>
      <c r="E40" s="38" t="str">
        <f t="shared" si="1"/>
        <v/>
      </c>
      <c r="G40" s="1"/>
      <c r="L40" s="39" t="str">
        <f t="shared" si="2"/>
        <v/>
      </c>
      <c r="T40" s="39" t="str">
        <f t="shared" si="3"/>
        <v/>
      </c>
    </row>
    <row r="41" spans="4:20" x14ac:dyDescent="0.25">
      <c r="D41" s="38" t="str">
        <f t="shared" si="0"/>
        <v/>
      </c>
      <c r="E41" s="38" t="str">
        <f t="shared" si="1"/>
        <v/>
      </c>
      <c r="G41" s="1"/>
      <c r="L41" s="39" t="str">
        <f t="shared" si="2"/>
        <v/>
      </c>
      <c r="T41" s="39" t="str">
        <f t="shared" si="3"/>
        <v/>
      </c>
    </row>
    <row r="42" spans="4:20" x14ac:dyDescent="0.25">
      <c r="D42" s="38" t="str">
        <f t="shared" si="0"/>
        <v/>
      </c>
      <c r="E42" s="38" t="str">
        <f t="shared" si="1"/>
        <v/>
      </c>
      <c r="G42" s="1"/>
      <c r="L42" s="39" t="str">
        <f t="shared" si="2"/>
        <v/>
      </c>
      <c r="T42" s="39" t="str">
        <f t="shared" si="3"/>
        <v/>
      </c>
    </row>
    <row r="43" spans="4:20" x14ac:dyDescent="0.25">
      <c r="D43" s="38" t="str">
        <f t="shared" si="0"/>
        <v/>
      </c>
      <c r="E43" s="38" t="str">
        <f t="shared" si="1"/>
        <v/>
      </c>
      <c r="G43" s="1"/>
      <c r="L43" s="39" t="str">
        <f t="shared" si="2"/>
        <v/>
      </c>
      <c r="T43" s="39" t="str">
        <f t="shared" si="3"/>
        <v/>
      </c>
    </row>
    <row r="44" spans="4:20" x14ac:dyDescent="0.25">
      <c r="D44" s="38" t="str">
        <f t="shared" si="0"/>
        <v/>
      </c>
      <c r="E44" s="38" t="str">
        <f t="shared" si="1"/>
        <v/>
      </c>
      <c r="G44" s="1"/>
      <c r="L44" s="39" t="str">
        <f t="shared" si="2"/>
        <v/>
      </c>
      <c r="T44" s="39" t="str">
        <f t="shared" si="3"/>
        <v/>
      </c>
    </row>
    <row r="45" spans="4:20" x14ac:dyDescent="0.25">
      <c r="D45" s="38" t="str">
        <f t="shared" si="0"/>
        <v/>
      </c>
      <c r="E45" s="38" t="str">
        <f t="shared" si="1"/>
        <v/>
      </c>
      <c r="G45" s="1"/>
      <c r="L45" s="39" t="str">
        <f t="shared" si="2"/>
        <v/>
      </c>
      <c r="T45" s="39" t="str">
        <f t="shared" si="3"/>
        <v/>
      </c>
    </row>
    <row r="46" spans="4:20" x14ac:dyDescent="0.25">
      <c r="D46" s="38" t="str">
        <f t="shared" si="0"/>
        <v/>
      </c>
      <c r="E46" s="38" t="str">
        <f t="shared" si="1"/>
        <v/>
      </c>
      <c r="G46" s="1"/>
      <c r="L46" s="39" t="str">
        <f t="shared" si="2"/>
        <v/>
      </c>
      <c r="T46" s="39" t="str">
        <f t="shared" si="3"/>
        <v/>
      </c>
    </row>
    <row r="47" spans="4:20" x14ac:dyDescent="0.25">
      <c r="D47" s="38" t="str">
        <f t="shared" si="0"/>
        <v/>
      </c>
      <c r="E47" s="38" t="str">
        <f t="shared" si="1"/>
        <v/>
      </c>
      <c r="G47" s="1"/>
      <c r="L47" s="39" t="str">
        <f t="shared" si="2"/>
        <v/>
      </c>
      <c r="T47" s="39" t="str">
        <f t="shared" si="3"/>
        <v/>
      </c>
    </row>
    <row r="48" spans="4:20" x14ac:dyDescent="0.25">
      <c r="D48" s="38" t="str">
        <f t="shared" si="0"/>
        <v/>
      </c>
      <c r="E48" s="38" t="str">
        <f t="shared" si="1"/>
        <v/>
      </c>
      <c r="G48" s="1"/>
      <c r="L48" s="39" t="str">
        <f t="shared" si="2"/>
        <v/>
      </c>
      <c r="T48" s="39" t="str">
        <f t="shared" si="3"/>
        <v/>
      </c>
    </row>
    <row r="49" spans="4:20" x14ac:dyDescent="0.25">
      <c r="D49" s="38" t="str">
        <f t="shared" si="0"/>
        <v/>
      </c>
      <c r="E49" s="38" t="str">
        <f t="shared" si="1"/>
        <v/>
      </c>
      <c r="G49" s="1"/>
      <c r="L49" s="39" t="str">
        <f t="shared" si="2"/>
        <v/>
      </c>
      <c r="T49" s="39" t="str">
        <f t="shared" si="3"/>
        <v/>
      </c>
    </row>
    <row r="50" spans="4:20" x14ac:dyDescent="0.25">
      <c r="D50" s="38" t="str">
        <f t="shared" si="0"/>
        <v/>
      </c>
      <c r="E50" s="38" t="str">
        <f t="shared" si="1"/>
        <v/>
      </c>
      <c r="G50" s="1"/>
      <c r="L50" s="39" t="str">
        <f t="shared" si="2"/>
        <v/>
      </c>
      <c r="T50" s="39" t="str">
        <f t="shared" si="3"/>
        <v/>
      </c>
    </row>
    <row r="51" spans="4:20" x14ac:dyDescent="0.25">
      <c r="D51" s="38" t="str">
        <f t="shared" si="0"/>
        <v/>
      </c>
      <c r="E51" s="38" t="str">
        <f t="shared" si="1"/>
        <v/>
      </c>
      <c r="G51" s="1"/>
      <c r="L51" s="39" t="str">
        <f t="shared" si="2"/>
        <v/>
      </c>
      <c r="T51" s="39" t="str">
        <f t="shared" si="3"/>
        <v/>
      </c>
    </row>
    <row r="52" spans="4:20" x14ac:dyDescent="0.25">
      <c r="D52" s="38" t="str">
        <f t="shared" si="0"/>
        <v/>
      </c>
      <c r="E52" s="38" t="str">
        <f t="shared" si="1"/>
        <v/>
      </c>
      <c r="G52" s="1"/>
      <c r="L52" s="39" t="str">
        <f t="shared" si="2"/>
        <v/>
      </c>
      <c r="T52" s="39" t="str">
        <f t="shared" si="3"/>
        <v/>
      </c>
    </row>
    <row r="53" spans="4:20" x14ac:dyDescent="0.25">
      <c r="D53" s="38" t="str">
        <f t="shared" si="0"/>
        <v/>
      </c>
      <c r="E53" s="38" t="str">
        <f t="shared" si="1"/>
        <v/>
      </c>
      <c r="G53" s="1"/>
      <c r="L53" s="39" t="str">
        <f t="shared" si="2"/>
        <v/>
      </c>
      <c r="T53" s="39" t="str">
        <f t="shared" si="3"/>
        <v/>
      </c>
    </row>
    <row r="54" spans="4:20" x14ac:dyDescent="0.25">
      <c r="D54" s="38" t="str">
        <f t="shared" si="0"/>
        <v/>
      </c>
      <c r="E54" s="38" t="str">
        <f t="shared" si="1"/>
        <v/>
      </c>
      <c r="G54" s="1"/>
      <c r="L54" s="39" t="str">
        <f t="shared" si="2"/>
        <v/>
      </c>
      <c r="T54" s="39" t="str">
        <f t="shared" si="3"/>
        <v/>
      </c>
    </row>
    <row r="55" spans="4:20" x14ac:dyDescent="0.25">
      <c r="D55" s="38" t="str">
        <f t="shared" si="0"/>
        <v/>
      </c>
      <c r="E55" s="38" t="str">
        <f t="shared" si="1"/>
        <v/>
      </c>
      <c r="G55" s="1"/>
      <c r="L55" s="39" t="str">
        <f t="shared" si="2"/>
        <v/>
      </c>
      <c r="T55" s="39" t="str">
        <f t="shared" si="3"/>
        <v/>
      </c>
    </row>
    <row r="56" spans="4:20" x14ac:dyDescent="0.25">
      <c r="D56" s="38" t="str">
        <f t="shared" si="0"/>
        <v/>
      </c>
      <c r="E56" s="38" t="str">
        <f t="shared" si="1"/>
        <v/>
      </c>
      <c r="G56" s="1"/>
      <c r="L56" s="39" t="str">
        <f t="shared" si="2"/>
        <v/>
      </c>
      <c r="T56" s="39" t="str">
        <f t="shared" si="3"/>
        <v/>
      </c>
    </row>
    <row r="57" spans="4:20" x14ac:dyDescent="0.25">
      <c r="D57" s="38" t="str">
        <f t="shared" si="0"/>
        <v/>
      </c>
      <c r="E57" s="38" t="str">
        <f t="shared" si="1"/>
        <v/>
      </c>
      <c r="G57" s="1"/>
      <c r="L57" s="39" t="str">
        <f t="shared" si="2"/>
        <v/>
      </c>
      <c r="T57" s="39" t="str">
        <f t="shared" si="3"/>
        <v/>
      </c>
    </row>
    <row r="58" spans="4:20" x14ac:dyDescent="0.25">
      <c r="D58" s="38" t="str">
        <f t="shared" si="0"/>
        <v/>
      </c>
      <c r="E58" s="38" t="str">
        <f t="shared" si="1"/>
        <v/>
      </c>
      <c r="G58" s="1"/>
      <c r="L58" s="39" t="str">
        <f t="shared" si="2"/>
        <v/>
      </c>
      <c r="T58" s="39" t="str">
        <f t="shared" si="3"/>
        <v/>
      </c>
    </row>
    <row r="59" spans="4:20" x14ac:dyDescent="0.25">
      <c r="D59" s="38" t="str">
        <f t="shared" si="0"/>
        <v/>
      </c>
      <c r="E59" s="38" t="str">
        <f t="shared" si="1"/>
        <v/>
      </c>
      <c r="G59" s="1"/>
      <c r="L59" s="39" t="str">
        <f t="shared" si="2"/>
        <v/>
      </c>
      <c r="T59" s="39" t="str">
        <f t="shared" si="3"/>
        <v/>
      </c>
    </row>
    <row r="60" spans="4:20" x14ac:dyDescent="0.25">
      <c r="D60" s="38" t="str">
        <f t="shared" si="0"/>
        <v/>
      </c>
      <c r="E60" s="38" t="str">
        <f t="shared" si="1"/>
        <v/>
      </c>
      <c r="G60" s="1"/>
      <c r="L60" s="39" t="str">
        <f t="shared" si="2"/>
        <v/>
      </c>
      <c r="T60" s="39" t="str">
        <f t="shared" si="3"/>
        <v/>
      </c>
    </row>
    <row r="61" spans="4:20" x14ac:dyDescent="0.25">
      <c r="D61" s="38" t="str">
        <f t="shared" si="0"/>
        <v/>
      </c>
      <c r="E61" s="38" t="str">
        <f t="shared" si="1"/>
        <v/>
      </c>
      <c r="G61" s="1"/>
      <c r="L61" s="39" t="str">
        <f t="shared" si="2"/>
        <v/>
      </c>
      <c r="T61" s="39" t="str">
        <f t="shared" si="3"/>
        <v/>
      </c>
    </row>
    <row r="62" spans="4:20" x14ac:dyDescent="0.25">
      <c r="D62" s="38" t="str">
        <f t="shared" si="0"/>
        <v/>
      </c>
      <c r="E62" s="38" t="str">
        <f t="shared" si="1"/>
        <v/>
      </c>
      <c r="G62" s="1"/>
      <c r="L62" s="39" t="str">
        <f t="shared" si="2"/>
        <v/>
      </c>
      <c r="T62" s="39" t="str">
        <f t="shared" si="3"/>
        <v/>
      </c>
    </row>
    <row r="63" spans="4:20" x14ac:dyDescent="0.25">
      <c r="D63" s="38" t="str">
        <f t="shared" si="0"/>
        <v/>
      </c>
      <c r="E63" s="38" t="str">
        <f t="shared" si="1"/>
        <v/>
      </c>
      <c r="G63" s="1"/>
      <c r="L63" s="39" t="str">
        <f t="shared" si="2"/>
        <v/>
      </c>
      <c r="T63" s="39" t="str">
        <f t="shared" si="3"/>
        <v/>
      </c>
    </row>
    <row r="64" spans="4:20" x14ac:dyDescent="0.25">
      <c r="D64" s="38" t="str">
        <f t="shared" si="0"/>
        <v/>
      </c>
      <c r="E64" s="38" t="str">
        <f t="shared" si="1"/>
        <v/>
      </c>
      <c r="G64" s="1"/>
      <c r="L64" s="39" t="str">
        <f t="shared" si="2"/>
        <v/>
      </c>
      <c r="T64" s="39" t="str">
        <f t="shared" si="3"/>
        <v/>
      </c>
    </row>
    <row r="65" spans="4:20" x14ac:dyDescent="0.25">
      <c r="D65" s="38" t="str">
        <f t="shared" si="0"/>
        <v/>
      </c>
      <c r="E65" s="38" t="str">
        <f t="shared" si="1"/>
        <v/>
      </c>
      <c r="G65" s="1"/>
      <c r="L65" s="39" t="str">
        <f t="shared" si="2"/>
        <v/>
      </c>
      <c r="T65" s="39" t="str">
        <f t="shared" si="3"/>
        <v/>
      </c>
    </row>
    <row r="66" spans="4:20" x14ac:dyDescent="0.25">
      <c r="D66" s="38" t="str">
        <f t="shared" ref="D66:D129" si="4">IF($B66="", "", CHOOSE(MONTH($B66), "Gennaio","Febbraio","Marzo","Aprile","Maggio","Giugno","Luglio","Agosto","Settembre","Ottobre","Novembre","Dicembre"))</f>
        <v/>
      </c>
      <c r="E66" s="38" t="str">
        <f t="shared" ref="E66:E129" si="5">IF($B66="", "", CHOOSE(WEEKDAY($B66,2), "Lunedì","Martedì","Mercoledì","Giovedì","Venerdì","Sabato","Domenica"))</f>
        <v/>
      </c>
      <c r="G66" s="1"/>
      <c r="L66" s="39" t="str">
        <f t="shared" ref="L66:L129" si="6">IF($K66="Target", $G66*$H66, IF($K66="Stop Loss", -$G66, IF($K66="Breakeven", 0, "")))</f>
        <v/>
      </c>
      <c r="T66" s="39" t="str">
        <f t="shared" si="3"/>
        <v/>
      </c>
    </row>
    <row r="67" spans="4:20" x14ac:dyDescent="0.25">
      <c r="D67" s="38" t="str">
        <f t="shared" si="4"/>
        <v/>
      </c>
      <c r="E67" s="38" t="str">
        <f t="shared" si="5"/>
        <v/>
      </c>
      <c r="G67" s="1"/>
      <c r="L67" s="39" t="str">
        <f t="shared" si="6"/>
        <v/>
      </c>
      <c r="T67" s="39" t="str">
        <f t="shared" ref="T67:T130" si="7">IF($L67="", "", $T66 + $L67)</f>
        <v/>
      </c>
    </row>
    <row r="68" spans="4:20" x14ac:dyDescent="0.25">
      <c r="D68" s="38" t="str">
        <f t="shared" si="4"/>
        <v/>
      </c>
      <c r="E68" s="38" t="str">
        <f t="shared" si="5"/>
        <v/>
      </c>
      <c r="G68" s="1"/>
      <c r="L68" s="39" t="str">
        <f t="shared" si="6"/>
        <v/>
      </c>
      <c r="T68" s="39" t="str">
        <f t="shared" si="7"/>
        <v/>
      </c>
    </row>
    <row r="69" spans="4:20" x14ac:dyDescent="0.25">
      <c r="D69" s="38" t="str">
        <f t="shared" si="4"/>
        <v/>
      </c>
      <c r="E69" s="38" t="str">
        <f t="shared" si="5"/>
        <v/>
      </c>
      <c r="G69" s="1"/>
      <c r="L69" s="39" t="str">
        <f t="shared" si="6"/>
        <v/>
      </c>
      <c r="T69" s="39" t="str">
        <f t="shared" si="7"/>
        <v/>
      </c>
    </row>
    <row r="70" spans="4:20" x14ac:dyDescent="0.25">
      <c r="D70" s="38" t="str">
        <f t="shared" si="4"/>
        <v/>
      </c>
      <c r="E70" s="38" t="str">
        <f t="shared" si="5"/>
        <v/>
      </c>
      <c r="G70" s="1"/>
      <c r="L70" s="39" t="str">
        <f t="shared" si="6"/>
        <v/>
      </c>
      <c r="T70" s="39" t="str">
        <f t="shared" si="7"/>
        <v/>
      </c>
    </row>
    <row r="71" spans="4:20" x14ac:dyDescent="0.25">
      <c r="D71" s="38" t="str">
        <f t="shared" si="4"/>
        <v/>
      </c>
      <c r="E71" s="38" t="str">
        <f t="shared" si="5"/>
        <v/>
      </c>
      <c r="G71" s="1"/>
      <c r="L71" s="39" t="str">
        <f t="shared" si="6"/>
        <v/>
      </c>
      <c r="T71" s="39" t="str">
        <f t="shared" si="7"/>
        <v/>
      </c>
    </row>
    <row r="72" spans="4:20" x14ac:dyDescent="0.25">
      <c r="D72" s="38" t="str">
        <f t="shared" si="4"/>
        <v/>
      </c>
      <c r="E72" s="38" t="str">
        <f t="shared" si="5"/>
        <v/>
      </c>
      <c r="G72" s="1"/>
      <c r="L72" s="39" t="str">
        <f t="shared" si="6"/>
        <v/>
      </c>
      <c r="T72" s="39" t="str">
        <f t="shared" si="7"/>
        <v/>
      </c>
    </row>
    <row r="73" spans="4:20" x14ac:dyDescent="0.25">
      <c r="D73" s="38" t="str">
        <f t="shared" si="4"/>
        <v/>
      </c>
      <c r="E73" s="38" t="str">
        <f t="shared" si="5"/>
        <v/>
      </c>
      <c r="G73" s="1"/>
      <c r="L73" s="39" t="str">
        <f t="shared" si="6"/>
        <v/>
      </c>
      <c r="T73" s="39" t="str">
        <f t="shared" si="7"/>
        <v/>
      </c>
    </row>
    <row r="74" spans="4:20" x14ac:dyDescent="0.25">
      <c r="D74" s="38" t="str">
        <f t="shared" si="4"/>
        <v/>
      </c>
      <c r="E74" s="38" t="str">
        <f t="shared" si="5"/>
        <v/>
      </c>
      <c r="G74" s="1"/>
      <c r="L74" s="39" t="str">
        <f t="shared" si="6"/>
        <v/>
      </c>
      <c r="T74" s="39" t="str">
        <f t="shared" si="7"/>
        <v/>
      </c>
    </row>
    <row r="75" spans="4:20" x14ac:dyDescent="0.25">
      <c r="D75" s="38" t="str">
        <f t="shared" si="4"/>
        <v/>
      </c>
      <c r="E75" s="38" t="str">
        <f t="shared" si="5"/>
        <v/>
      </c>
      <c r="G75" s="1"/>
      <c r="L75" s="39" t="str">
        <f t="shared" si="6"/>
        <v/>
      </c>
      <c r="T75" s="39" t="str">
        <f t="shared" si="7"/>
        <v/>
      </c>
    </row>
    <row r="76" spans="4:20" x14ac:dyDescent="0.25">
      <c r="D76" s="38" t="str">
        <f t="shared" si="4"/>
        <v/>
      </c>
      <c r="E76" s="38" t="str">
        <f t="shared" si="5"/>
        <v/>
      </c>
      <c r="G76" s="1"/>
      <c r="L76" s="39" t="str">
        <f t="shared" si="6"/>
        <v/>
      </c>
      <c r="T76" s="39" t="str">
        <f t="shared" si="7"/>
        <v/>
      </c>
    </row>
    <row r="77" spans="4:20" x14ac:dyDescent="0.25">
      <c r="D77" s="38" t="str">
        <f t="shared" si="4"/>
        <v/>
      </c>
      <c r="E77" s="38" t="str">
        <f t="shared" si="5"/>
        <v/>
      </c>
      <c r="G77" s="1"/>
      <c r="L77" s="39" t="str">
        <f t="shared" si="6"/>
        <v/>
      </c>
      <c r="T77" s="39" t="str">
        <f t="shared" si="7"/>
        <v/>
      </c>
    </row>
    <row r="78" spans="4:20" x14ac:dyDescent="0.25">
      <c r="D78" s="38" t="str">
        <f t="shared" si="4"/>
        <v/>
      </c>
      <c r="E78" s="38" t="str">
        <f t="shared" si="5"/>
        <v/>
      </c>
      <c r="G78" s="1"/>
      <c r="L78" s="39" t="str">
        <f t="shared" si="6"/>
        <v/>
      </c>
      <c r="T78" s="39" t="str">
        <f t="shared" si="7"/>
        <v/>
      </c>
    </row>
    <row r="79" spans="4:20" x14ac:dyDescent="0.25">
      <c r="D79" s="38" t="str">
        <f t="shared" si="4"/>
        <v/>
      </c>
      <c r="E79" s="38" t="str">
        <f t="shared" si="5"/>
        <v/>
      </c>
      <c r="G79" s="1"/>
      <c r="L79" s="39" t="str">
        <f t="shared" si="6"/>
        <v/>
      </c>
      <c r="T79" s="39" t="str">
        <f t="shared" si="7"/>
        <v/>
      </c>
    </row>
    <row r="80" spans="4:20" x14ac:dyDescent="0.25">
      <c r="D80" s="38" t="str">
        <f t="shared" si="4"/>
        <v/>
      </c>
      <c r="E80" s="38" t="str">
        <f t="shared" si="5"/>
        <v/>
      </c>
      <c r="G80" s="1"/>
      <c r="L80" s="39" t="str">
        <f t="shared" si="6"/>
        <v/>
      </c>
      <c r="T80" s="39" t="str">
        <f t="shared" si="7"/>
        <v/>
      </c>
    </row>
    <row r="81" spans="4:20" x14ac:dyDescent="0.25">
      <c r="D81" s="38" t="str">
        <f t="shared" si="4"/>
        <v/>
      </c>
      <c r="E81" s="38" t="str">
        <f t="shared" si="5"/>
        <v/>
      </c>
      <c r="G81" s="1"/>
      <c r="L81" s="39" t="str">
        <f t="shared" si="6"/>
        <v/>
      </c>
      <c r="T81" s="39" t="str">
        <f t="shared" si="7"/>
        <v/>
      </c>
    </row>
    <row r="82" spans="4:20" x14ac:dyDescent="0.25">
      <c r="D82" s="38" t="str">
        <f t="shared" si="4"/>
        <v/>
      </c>
      <c r="E82" s="38" t="str">
        <f t="shared" si="5"/>
        <v/>
      </c>
      <c r="G82" s="1"/>
      <c r="L82" s="39" t="str">
        <f t="shared" si="6"/>
        <v/>
      </c>
      <c r="T82" s="39" t="str">
        <f t="shared" si="7"/>
        <v/>
      </c>
    </row>
    <row r="83" spans="4:20" x14ac:dyDescent="0.25">
      <c r="D83" s="38" t="str">
        <f t="shared" si="4"/>
        <v/>
      </c>
      <c r="E83" s="38" t="str">
        <f t="shared" si="5"/>
        <v/>
      </c>
      <c r="G83" s="1"/>
      <c r="L83" s="39" t="str">
        <f t="shared" si="6"/>
        <v/>
      </c>
      <c r="T83" s="39" t="str">
        <f t="shared" si="7"/>
        <v/>
      </c>
    </row>
    <row r="84" spans="4:20" x14ac:dyDescent="0.25">
      <c r="D84" s="38" t="str">
        <f t="shared" si="4"/>
        <v/>
      </c>
      <c r="E84" s="38" t="str">
        <f t="shared" si="5"/>
        <v/>
      </c>
      <c r="G84" s="1"/>
      <c r="L84" s="39" t="str">
        <f t="shared" si="6"/>
        <v/>
      </c>
      <c r="T84" s="39" t="str">
        <f t="shared" si="7"/>
        <v/>
      </c>
    </row>
    <row r="85" spans="4:20" x14ac:dyDescent="0.25">
      <c r="D85" s="38" t="str">
        <f t="shared" si="4"/>
        <v/>
      </c>
      <c r="E85" s="38" t="str">
        <f t="shared" si="5"/>
        <v/>
      </c>
      <c r="G85" s="1"/>
      <c r="L85" s="39" t="str">
        <f t="shared" si="6"/>
        <v/>
      </c>
      <c r="T85" s="39" t="str">
        <f t="shared" si="7"/>
        <v/>
      </c>
    </row>
    <row r="86" spans="4:20" x14ac:dyDescent="0.25">
      <c r="D86" s="38" t="str">
        <f t="shared" si="4"/>
        <v/>
      </c>
      <c r="E86" s="38" t="str">
        <f t="shared" si="5"/>
        <v/>
      </c>
      <c r="G86" s="1"/>
      <c r="L86" s="39" t="str">
        <f t="shared" si="6"/>
        <v/>
      </c>
      <c r="T86" s="39" t="str">
        <f t="shared" si="7"/>
        <v/>
      </c>
    </row>
    <row r="87" spans="4:20" x14ac:dyDescent="0.25">
      <c r="D87" s="38" t="str">
        <f t="shared" si="4"/>
        <v/>
      </c>
      <c r="E87" s="38" t="str">
        <f t="shared" si="5"/>
        <v/>
      </c>
      <c r="G87" s="1"/>
      <c r="L87" s="39" t="str">
        <f t="shared" si="6"/>
        <v/>
      </c>
      <c r="T87" s="39" t="str">
        <f t="shared" si="7"/>
        <v/>
      </c>
    </row>
    <row r="88" spans="4:20" x14ac:dyDescent="0.25">
      <c r="D88" s="38" t="str">
        <f t="shared" si="4"/>
        <v/>
      </c>
      <c r="E88" s="38" t="str">
        <f t="shared" si="5"/>
        <v/>
      </c>
      <c r="G88" s="1"/>
      <c r="L88" s="39" t="str">
        <f t="shared" si="6"/>
        <v/>
      </c>
      <c r="T88" s="39" t="str">
        <f t="shared" si="7"/>
        <v/>
      </c>
    </row>
    <row r="89" spans="4:20" x14ac:dyDescent="0.25">
      <c r="D89" s="38" t="str">
        <f t="shared" si="4"/>
        <v/>
      </c>
      <c r="E89" s="38" t="str">
        <f t="shared" si="5"/>
        <v/>
      </c>
      <c r="G89" s="1"/>
      <c r="L89" s="39" t="str">
        <f t="shared" si="6"/>
        <v/>
      </c>
      <c r="T89" s="39" t="str">
        <f t="shared" si="7"/>
        <v/>
      </c>
    </row>
    <row r="90" spans="4:20" x14ac:dyDescent="0.25">
      <c r="D90" s="38" t="str">
        <f t="shared" si="4"/>
        <v/>
      </c>
      <c r="E90" s="38" t="str">
        <f t="shared" si="5"/>
        <v/>
      </c>
      <c r="G90" s="1"/>
      <c r="L90" s="39" t="str">
        <f t="shared" si="6"/>
        <v/>
      </c>
      <c r="T90" s="39" t="str">
        <f t="shared" si="7"/>
        <v/>
      </c>
    </row>
    <row r="91" spans="4:20" x14ac:dyDescent="0.25">
      <c r="D91" s="38" t="str">
        <f t="shared" si="4"/>
        <v/>
      </c>
      <c r="E91" s="38" t="str">
        <f t="shared" si="5"/>
        <v/>
      </c>
      <c r="G91" s="1"/>
      <c r="L91" s="39" t="str">
        <f t="shared" si="6"/>
        <v/>
      </c>
      <c r="T91" s="39" t="str">
        <f t="shared" si="7"/>
        <v/>
      </c>
    </row>
    <row r="92" spans="4:20" x14ac:dyDescent="0.25">
      <c r="D92" s="38" t="str">
        <f t="shared" si="4"/>
        <v/>
      </c>
      <c r="E92" s="38" t="str">
        <f t="shared" si="5"/>
        <v/>
      </c>
      <c r="G92" s="1"/>
      <c r="L92" s="39" t="str">
        <f t="shared" si="6"/>
        <v/>
      </c>
      <c r="T92" s="39" t="str">
        <f t="shared" si="7"/>
        <v/>
      </c>
    </row>
    <row r="93" spans="4:20" x14ac:dyDescent="0.25">
      <c r="D93" s="38" t="str">
        <f t="shared" si="4"/>
        <v/>
      </c>
      <c r="E93" s="38" t="str">
        <f t="shared" si="5"/>
        <v/>
      </c>
      <c r="G93" s="1"/>
      <c r="L93" s="39" t="str">
        <f t="shared" si="6"/>
        <v/>
      </c>
      <c r="T93" s="39" t="str">
        <f t="shared" si="7"/>
        <v/>
      </c>
    </row>
    <row r="94" spans="4:20" x14ac:dyDescent="0.25">
      <c r="D94" s="38" t="str">
        <f t="shared" si="4"/>
        <v/>
      </c>
      <c r="E94" s="38" t="str">
        <f t="shared" si="5"/>
        <v/>
      </c>
      <c r="G94" s="1"/>
      <c r="L94" s="39" t="str">
        <f t="shared" si="6"/>
        <v/>
      </c>
      <c r="T94" s="39" t="str">
        <f t="shared" si="7"/>
        <v/>
      </c>
    </row>
    <row r="95" spans="4:20" x14ac:dyDescent="0.25">
      <c r="D95" s="38" t="str">
        <f t="shared" si="4"/>
        <v/>
      </c>
      <c r="E95" s="38" t="str">
        <f t="shared" si="5"/>
        <v/>
      </c>
      <c r="G95" s="1"/>
      <c r="L95" s="39" t="str">
        <f t="shared" si="6"/>
        <v/>
      </c>
      <c r="T95" s="39" t="str">
        <f t="shared" si="7"/>
        <v/>
      </c>
    </row>
    <row r="96" spans="4:20" x14ac:dyDescent="0.25">
      <c r="D96" s="38" t="str">
        <f t="shared" si="4"/>
        <v/>
      </c>
      <c r="E96" s="38" t="str">
        <f t="shared" si="5"/>
        <v/>
      </c>
      <c r="G96" s="1"/>
      <c r="L96" s="39" t="str">
        <f t="shared" si="6"/>
        <v/>
      </c>
      <c r="T96" s="39" t="str">
        <f t="shared" si="7"/>
        <v/>
      </c>
    </row>
    <row r="97" spans="4:20" x14ac:dyDescent="0.25">
      <c r="D97" s="38" t="str">
        <f t="shared" si="4"/>
        <v/>
      </c>
      <c r="E97" s="38" t="str">
        <f t="shared" si="5"/>
        <v/>
      </c>
      <c r="G97" s="1"/>
      <c r="L97" s="39" t="str">
        <f t="shared" si="6"/>
        <v/>
      </c>
      <c r="T97" s="39" t="str">
        <f t="shared" si="7"/>
        <v/>
      </c>
    </row>
    <row r="98" spans="4:20" x14ac:dyDescent="0.25">
      <c r="D98" s="38" t="str">
        <f t="shared" si="4"/>
        <v/>
      </c>
      <c r="E98" s="38" t="str">
        <f t="shared" si="5"/>
        <v/>
      </c>
      <c r="G98" s="1"/>
      <c r="L98" s="39" t="str">
        <f t="shared" si="6"/>
        <v/>
      </c>
      <c r="T98" s="39" t="str">
        <f t="shared" si="7"/>
        <v/>
      </c>
    </row>
    <row r="99" spans="4:20" x14ac:dyDescent="0.25">
      <c r="D99" s="38" t="str">
        <f t="shared" si="4"/>
        <v/>
      </c>
      <c r="E99" s="38" t="str">
        <f t="shared" si="5"/>
        <v/>
      </c>
      <c r="G99" s="1"/>
      <c r="L99" s="39" t="str">
        <f t="shared" si="6"/>
        <v/>
      </c>
      <c r="T99" s="39" t="str">
        <f t="shared" si="7"/>
        <v/>
      </c>
    </row>
    <row r="100" spans="4:20" x14ac:dyDescent="0.25">
      <c r="D100" s="38" t="str">
        <f t="shared" si="4"/>
        <v/>
      </c>
      <c r="E100" s="38" t="str">
        <f t="shared" si="5"/>
        <v/>
      </c>
      <c r="G100" s="1"/>
      <c r="L100" s="39" t="str">
        <f t="shared" si="6"/>
        <v/>
      </c>
      <c r="T100" s="39" t="str">
        <f t="shared" si="7"/>
        <v/>
      </c>
    </row>
    <row r="101" spans="4:20" x14ac:dyDescent="0.25">
      <c r="D101" s="38" t="str">
        <f t="shared" si="4"/>
        <v/>
      </c>
      <c r="E101" s="38" t="str">
        <f t="shared" si="5"/>
        <v/>
      </c>
      <c r="G101" s="1"/>
      <c r="L101" s="39" t="str">
        <f t="shared" si="6"/>
        <v/>
      </c>
      <c r="T101" s="39" t="str">
        <f t="shared" si="7"/>
        <v/>
      </c>
    </row>
    <row r="102" spans="4:20" x14ac:dyDescent="0.25">
      <c r="D102" s="38" t="str">
        <f t="shared" si="4"/>
        <v/>
      </c>
      <c r="E102" s="38" t="str">
        <f t="shared" si="5"/>
        <v/>
      </c>
      <c r="G102" s="1"/>
      <c r="L102" s="39" t="str">
        <f t="shared" si="6"/>
        <v/>
      </c>
      <c r="T102" s="39" t="str">
        <f t="shared" si="7"/>
        <v/>
      </c>
    </row>
    <row r="103" spans="4:20" x14ac:dyDescent="0.25">
      <c r="D103" s="38" t="str">
        <f t="shared" si="4"/>
        <v/>
      </c>
      <c r="E103" s="38" t="str">
        <f t="shared" si="5"/>
        <v/>
      </c>
      <c r="G103" s="1"/>
      <c r="L103" s="39" t="str">
        <f t="shared" si="6"/>
        <v/>
      </c>
      <c r="T103" s="39" t="str">
        <f t="shared" si="7"/>
        <v/>
      </c>
    </row>
    <row r="104" spans="4:20" x14ac:dyDescent="0.25">
      <c r="D104" s="38" t="str">
        <f t="shared" si="4"/>
        <v/>
      </c>
      <c r="E104" s="38" t="str">
        <f t="shared" si="5"/>
        <v/>
      </c>
      <c r="G104" s="1"/>
      <c r="L104" s="39" t="str">
        <f t="shared" si="6"/>
        <v/>
      </c>
      <c r="T104" s="39" t="str">
        <f t="shared" si="7"/>
        <v/>
      </c>
    </row>
    <row r="105" spans="4:20" x14ac:dyDescent="0.25">
      <c r="D105" s="38" t="str">
        <f t="shared" si="4"/>
        <v/>
      </c>
      <c r="E105" s="38" t="str">
        <f t="shared" si="5"/>
        <v/>
      </c>
      <c r="G105" s="1"/>
      <c r="L105" s="39" t="str">
        <f t="shared" si="6"/>
        <v/>
      </c>
      <c r="T105" s="39" t="str">
        <f t="shared" si="7"/>
        <v/>
      </c>
    </row>
    <row r="106" spans="4:20" x14ac:dyDescent="0.25">
      <c r="D106" s="38" t="str">
        <f t="shared" si="4"/>
        <v/>
      </c>
      <c r="E106" s="38" t="str">
        <f t="shared" si="5"/>
        <v/>
      </c>
      <c r="G106" s="1"/>
      <c r="L106" s="39" t="str">
        <f t="shared" si="6"/>
        <v/>
      </c>
      <c r="T106" s="39" t="str">
        <f t="shared" si="7"/>
        <v/>
      </c>
    </row>
    <row r="107" spans="4:20" x14ac:dyDescent="0.25">
      <c r="D107" s="38" t="str">
        <f t="shared" si="4"/>
        <v/>
      </c>
      <c r="E107" s="38" t="str">
        <f t="shared" si="5"/>
        <v/>
      </c>
      <c r="G107" s="1"/>
      <c r="L107" s="39" t="str">
        <f t="shared" si="6"/>
        <v/>
      </c>
      <c r="T107" s="39" t="str">
        <f t="shared" si="7"/>
        <v/>
      </c>
    </row>
    <row r="108" spans="4:20" x14ac:dyDescent="0.25">
      <c r="D108" s="38" t="str">
        <f t="shared" si="4"/>
        <v/>
      </c>
      <c r="E108" s="38" t="str">
        <f t="shared" si="5"/>
        <v/>
      </c>
      <c r="G108" s="1"/>
      <c r="L108" s="39" t="str">
        <f t="shared" si="6"/>
        <v/>
      </c>
      <c r="T108" s="39" t="str">
        <f t="shared" si="7"/>
        <v/>
      </c>
    </row>
    <row r="109" spans="4:20" x14ac:dyDescent="0.25">
      <c r="D109" s="38" t="str">
        <f t="shared" si="4"/>
        <v/>
      </c>
      <c r="E109" s="38" t="str">
        <f t="shared" si="5"/>
        <v/>
      </c>
      <c r="G109" s="1"/>
      <c r="L109" s="39" t="str">
        <f t="shared" si="6"/>
        <v/>
      </c>
      <c r="T109" s="39" t="str">
        <f t="shared" si="7"/>
        <v/>
      </c>
    </row>
    <row r="110" spans="4:20" x14ac:dyDescent="0.25">
      <c r="D110" s="38" t="str">
        <f t="shared" si="4"/>
        <v/>
      </c>
      <c r="E110" s="38" t="str">
        <f t="shared" si="5"/>
        <v/>
      </c>
      <c r="G110" s="1"/>
      <c r="L110" s="39" t="str">
        <f t="shared" si="6"/>
        <v/>
      </c>
      <c r="T110" s="39" t="str">
        <f t="shared" si="7"/>
        <v/>
      </c>
    </row>
    <row r="111" spans="4:20" x14ac:dyDescent="0.25">
      <c r="D111" s="38" t="str">
        <f t="shared" si="4"/>
        <v/>
      </c>
      <c r="E111" s="38" t="str">
        <f t="shared" si="5"/>
        <v/>
      </c>
      <c r="G111" s="1"/>
      <c r="L111" s="39" t="str">
        <f t="shared" si="6"/>
        <v/>
      </c>
      <c r="T111" s="39" t="str">
        <f t="shared" si="7"/>
        <v/>
      </c>
    </row>
    <row r="112" spans="4:20" x14ac:dyDescent="0.25">
      <c r="D112" s="38" t="str">
        <f t="shared" si="4"/>
        <v/>
      </c>
      <c r="E112" s="38" t="str">
        <f t="shared" si="5"/>
        <v/>
      </c>
      <c r="G112" s="1"/>
      <c r="L112" s="39" t="str">
        <f t="shared" si="6"/>
        <v/>
      </c>
      <c r="T112" s="39" t="str">
        <f t="shared" si="7"/>
        <v/>
      </c>
    </row>
    <row r="113" spans="4:20" x14ac:dyDescent="0.25">
      <c r="D113" s="38" t="str">
        <f t="shared" si="4"/>
        <v/>
      </c>
      <c r="E113" s="38" t="str">
        <f t="shared" si="5"/>
        <v/>
      </c>
      <c r="G113" s="1"/>
      <c r="L113" s="39" t="str">
        <f t="shared" si="6"/>
        <v/>
      </c>
      <c r="T113" s="39" t="str">
        <f t="shared" si="7"/>
        <v/>
      </c>
    </row>
    <row r="114" spans="4:20" x14ac:dyDescent="0.25">
      <c r="D114" s="38" t="str">
        <f t="shared" si="4"/>
        <v/>
      </c>
      <c r="E114" s="38" t="str">
        <f t="shared" si="5"/>
        <v/>
      </c>
      <c r="G114" s="1"/>
      <c r="L114" s="39" t="str">
        <f t="shared" si="6"/>
        <v/>
      </c>
      <c r="T114" s="39" t="str">
        <f t="shared" si="7"/>
        <v/>
      </c>
    </row>
    <row r="115" spans="4:20" x14ac:dyDescent="0.25">
      <c r="D115" s="38" t="str">
        <f t="shared" si="4"/>
        <v/>
      </c>
      <c r="E115" s="38" t="str">
        <f t="shared" si="5"/>
        <v/>
      </c>
      <c r="G115" s="1"/>
      <c r="L115" s="39" t="str">
        <f t="shared" si="6"/>
        <v/>
      </c>
      <c r="T115" s="39" t="str">
        <f t="shared" si="7"/>
        <v/>
      </c>
    </row>
    <row r="116" spans="4:20" x14ac:dyDescent="0.25">
      <c r="D116" s="38" t="str">
        <f t="shared" si="4"/>
        <v/>
      </c>
      <c r="E116" s="38" t="str">
        <f t="shared" si="5"/>
        <v/>
      </c>
      <c r="G116" s="1"/>
      <c r="L116" s="39" t="str">
        <f t="shared" si="6"/>
        <v/>
      </c>
      <c r="T116" s="39" t="str">
        <f t="shared" si="7"/>
        <v/>
      </c>
    </row>
    <row r="117" spans="4:20" x14ac:dyDescent="0.25">
      <c r="D117" s="38" t="str">
        <f t="shared" si="4"/>
        <v/>
      </c>
      <c r="E117" s="38" t="str">
        <f t="shared" si="5"/>
        <v/>
      </c>
      <c r="G117" s="1"/>
      <c r="L117" s="39" t="str">
        <f t="shared" si="6"/>
        <v/>
      </c>
      <c r="T117" s="39" t="str">
        <f t="shared" si="7"/>
        <v/>
      </c>
    </row>
    <row r="118" spans="4:20" x14ac:dyDescent="0.25">
      <c r="D118" s="38" t="str">
        <f t="shared" si="4"/>
        <v/>
      </c>
      <c r="E118" s="38" t="str">
        <f t="shared" si="5"/>
        <v/>
      </c>
      <c r="G118" s="1"/>
      <c r="L118" s="39" t="str">
        <f t="shared" si="6"/>
        <v/>
      </c>
      <c r="T118" s="39" t="str">
        <f t="shared" si="7"/>
        <v/>
      </c>
    </row>
    <row r="119" spans="4:20" x14ac:dyDescent="0.25">
      <c r="D119" s="38" t="str">
        <f t="shared" si="4"/>
        <v/>
      </c>
      <c r="E119" s="38" t="str">
        <f t="shared" si="5"/>
        <v/>
      </c>
      <c r="G119" s="1"/>
      <c r="L119" s="39" t="str">
        <f t="shared" si="6"/>
        <v/>
      </c>
      <c r="T119" s="39" t="str">
        <f t="shared" si="7"/>
        <v/>
      </c>
    </row>
    <row r="120" spans="4:20" x14ac:dyDescent="0.25">
      <c r="D120" s="38" t="str">
        <f t="shared" si="4"/>
        <v/>
      </c>
      <c r="E120" s="38" t="str">
        <f t="shared" si="5"/>
        <v/>
      </c>
      <c r="G120" s="1"/>
      <c r="L120" s="39" t="str">
        <f t="shared" si="6"/>
        <v/>
      </c>
      <c r="T120" s="39" t="str">
        <f t="shared" si="7"/>
        <v/>
      </c>
    </row>
    <row r="121" spans="4:20" x14ac:dyDescent="0.25">
      <c r="D121" s="38" t="str">
        <f t="shared" si="4"/>
        <v/>
      </c>
      <c r="E121" s="38" t="str">
        <f t="shared" si="5"/>
        <v/>
      </c>
      <c r="G121" s="1"/>
      <c r="L121" s="39" t="str">
        <f t="shared" si="6"/>
        <v/>
      </c>
      <c r="T121" s="39" t="str">
        <f t="shared" si="7"/>
        <v/>
      </c>
    </row>
    <row r="122" spans="4:20" x14ac:dyDescent="0.25">
      <c r="D122" s="38" t="str">
        <f t="shared" si="4"/>
        <v/>
      </c>
      <c r="E122" s="38" t="str">
        <f t="shared" si="5"/>
        <v/>
      </c>
      <c r="G122" s="1"/>
      <c r="L122" s="39" t="str">
        <f t="shared" si="6"/>
        <v/>
      </c>
      <c r="T122" s="39" t="str">
        <f t="shared" si="7"/>
        <v/>
      </c>
    </row>
    <row r="123" spans="4:20" x14ac:dyDescent="0.25">
      <c r="D123" s="38" t="str">
        <f t="shared" si="4"/>
        <v/>
      </c>
      <c r="E123" s="38" t="str">
        <f t="shared" si="5"/>
        <v/>
      </c>
      <c r="G123" s="1"/>
      <c r="L123" s="39" t="str">
        <f t="shared" si="6"/>
        <v/>
      </c>
      <c r="T123" s="39" t="str">
        <f t="shared" si="7"/>
        <v/>
      </c>
    </row>
    <row r="124" spans="4:20" x14ac:dyDescent="0.25">
      <c r="D124" s="38" t="str">
        <f t="shared" si="4"/>
        <v/>
      </c>
      <c r="E124" s="38" t="str">
        <f t="shared" si="5"/>
        <v/>
      </c>
      <c r="G124" s="1"/>
      <c r="L124" s="39" t="str">
        <f t="shared" si="6"/>
        <v/>
      </c>
      <c r="T124" s="39" t="str">
        <f t="shared" si="7"/>
        <v/>
      </c>
    </row>
    <row r="125" spans="4:20" x14ac:dyDescent="0.25">
      <c r="D125" s="38" t="str">
        <f t="shared" si="4"/>
        <v/>
      </c>
      <c r="E125" s="38" t="str">
        <f t="shared" si="5"/>
        <v/>
      </c>
      <c r="G125" s="1"/>
      <c r="L125" s="39" t="str">
        <f t="shared" si="6"/>
        <v/>
      </c>
      <c r="T125" s="39" t="str">
        <f t="shared" si="7"/>
        <v/>
      </c>
    </row>
    <row r="126" spans="4:20" x14ac:dyDescent="0.25">
      <c r="D126" s="38" t="str">
        <f t="shared" si="4"/>
        <v/>
      </c>
      <c r="E126" s="38" t="str">
        <f t="shared" si="5"/>
        <v/>
      </c>
      <c r="G126" s="1"/>
      <c r="L126" s="39" t="str">
        <f t="shared" si="6"/>
        <v/>
      </c>
      <c r="T126" s="39" t="str">
        <f t="shared" si="7"/>
        <v/>
      </c>
    </row>
    <row r="127" spans="4:20" x14ac:dyDescent="0.25">
      <c r="D127" s="38" t="str">
        <f t="shared" si="4"/>
        <v/>
      </c>
      <c r="E127" s="38" t="str">
        <f t="shared" si="5"/>
        <v/>
      </c>
      <c r="G127" s="1"/>
      <c r="L127" s="39" t="str">
        <f t="shared" si="6"/>
        <v/>
      </c>
      <c r="T127" s="39" t="str">
        <f t="shared" si="7"/>
        <v/>
      </c>
    </row>
    <row r="128" spans="4:20" x14ac:dyDescent="0.25">
      <c r="D128" s="38" t="str">
        <f t="shared" si="4"/>
        <v/>
      </c>
      <c r="E128" s="38" t="str">
        <f t="shared" si="5"/>
        <v/>
      </c>
      <c r="G128" s="1"/>
      <c r="L128" s="39" t="str">
        <f t="shared" si="6"/>
        <v/>
      </c>
      <c r="T128" s="39" t="str">
        <f t="shared" si="7"/>
        <v/>
      </c>
    </row>
    <row r="129" spans="4:20" x14ac:dyDescent="0.25">
      <c r="D129" s="38" t="str">
        <f t="shared" si="4"/>
        <v/>
      </c>
      <c r="E129" s="38" t="str">
        <f t="shared" si="5"/>
        <v/>
      </c>
      <c r="G129" s="1"/>
      <c r="L129" s="39" t="str">
        <f t="shared" si="6"/>
        <v/>
      </c>
      <c r="T129" s="39" t="str">
        <f t="shared" si="7"/>
        <v/>
      </c>
    </row>
    <row r="130" spans="4:20" x14ac:dyDescent="0.25">
      <c r="D130" s="38" t="str">
        <f t="shared" ref="D130:D193" si="8">IF($B130="", "", CHOOSE(MONTH($B130), "Gennaio","Febbraio","Marzo","Aprile","Maggio","Giugno","Luglio","Agosto","Settembre","Ottobre","Novembre","Dicembre"))</f>
        <v/>
      </c>
      <c r="E130" s="38" t="str">
        <f t="shared" ref="E130:E193" si="9">IF($B130="", "", CHOOSE(WEEKDAY($B130,2), "Lunedì","Martedì","Mercoledì","Giovedì","Venerdì","Sabato","Domenica"))</f>
        <v/>
      </c>
      <c r="G130" s="1"/>
      <c r="L130" s="39" t="str">
        <f t="shared" ref="L130:L193" si="10">IF($K130="Target", $G130*$H130, IF($K130="Stop Loss", -$G130, IF($K130="Breakeven", 0, "")))</f>
        <v/>
      </c>
      <c r="T130" s="39" t="str">
        <f t="shared" si="7"/>
        <v/>
      </c>
    </row>
    <row r="131" spans="4:20" x14ac:dyDescent="0.25">
      <c r="D131" s="38" t="str">
        <f t="shared" si="8"/>
        <v/>
      </c>
      <c r="E131" s="38" t="str">
        <f t="shared" si="9"/>
        <v/>
      </c>
      <c r="G131" s="1"/>
      <c r="L131" s="39" t="str">
        <f t="shared" si="10"/>
        <v/>
      </c>
      <c r="T131" s="39" t="str">
        <f t="shared" ref="T131:T194" si="11">IF($L131="", "", $T130 + $L131)</f>
        <v/>
      </c>
    </row>
    <row r="132" spans="4:20" x14ac:dyDescent="0.25">
      <c r="D132" s="38" t="str">
        <f t="shared" si="8"/>
        <v/>
      </c>
      <c r="E132" s="38" t="str">
        <f t="shared" si="9"/>
        <v/>
      </c>
      <c r="G132" s="1"/>
      <c r="L132" s="39" t="str">
        <f t="shared" si="10"/>
        <v/>
      </c>
      <c r="T132" s="39" t="str">
        <f t="shared" si="11"/>
        <v/>
      </c>
    </row>
    <row r="133" spans="4:20" x14ac:dyDescent="0.25">
      <c r="D133" s="38" t="str">
        <f t="shared" si="8"/>
        <v/>
      </c>
      <c r="E133" s="38" t="str">
        <f t="shared" si="9"/>
        <v/>
      </c>
      <c r="G133" s="1"/>
      <c r="L133" s="39" t="str">
        <f t="shared" si="10"/>
        <v/>
      </c>
      <c r="T133" s="39" t="str">
        <f t="shared" si="11"/>
        <v/>
      </c>
    </row>
    <row r="134" spans="4:20" x14ac:dyDescent="0.25">
      <c r="D134" s="38" t="str">
        <f t="shared" si="8"/>
        <v/>
      </c>
      <c r="E134" s="38" t="str">
        <f t="shared" si="9"/>
        <v/>
      </c>
      <c r="G134" s="1"/>
      <c r="L134" s="39" t="str">
        <f t="shared" si="10"/>
        <v/>
      </c>
      <c r="T134" s="39" t="str">
        <f t="shared" si="11"/>
        <v/>
      </c>
    </row>
    <row r="135" spans="4:20" x14ac:dyDescent="0.25">
      <c r="D135" s="38" t="str">
        <f t="shared" si="8"/>
        <v/>
      </c>
      <c r="E135" s="38" t="str">
        <f t="shared" si="9"/>
        <v/>
      </c>
      <c r="G135" s="1"/>
      <c r="L135" s="39" t="str">
        <f t="shared" si="10"/>
        <v/>
      </c>
      <c r="T135" s="39" t="str">
        <f t="shared" si="11"/>
        <v/>
      </c>
    </row>
    <row r="136" spans="4:20" x14ac:dyDescent="0.25">
      <c r="D136" s="38" t="str">
        <f t="shared" si="8"/>
        <v/>
      </c>
      <c r="E136" s="38" t="str">
        <f t="shared" si="9"/>
        <v/>
      </c>
      <c r="G136" s="1"/>
      <c r="L136" s="39" t="str">
        <f t="shared" si="10"/>
        <v/>
      </c>
      <c r="T136" s="39" t="str">
        <f t="shared" si="11"/>
        <v/>
      </c>
    </row>
    <row r="137" spans="4:20" x14ac:dyDescent="0.25">
      <c r="D137" s="38" t="str">
        <f t="shared" si="8"/>
        <v/>
      </c>
      <c r="E137" s="38" t="str">
        <f t="shared" si="9"/>
        <v/>
      </c>
      <c r="G137" s="1"/>
      <c r="L137" s="39" t="str">
        <f t="shared" si="10"/>
        <v/>
      </c>
      <c r="T137" s="39" t="str">
        <f t="shared" si="11"/>
        <v/>
      </c>
    </row>
    <row r="138" spans="4:20" x14ac:dyDescent="0.25">
      <c r="D138" s="38" t="str">
        <f t="shared" si="8"/>
        <v/>
      </c>
      <c r="E138" s="38" t="str">
        <f t="shared" si="9"/>
        <v/>
      </c>
      <c r="G138" s="1"/>
      <c r="L138" s="39" t="str">
        <f t="shared" si="10"/>
        <v/>
      </c>
      <c r="T138" s="39" t="str">
        <f t="shared" si="11"/>
        <v/>
      </c>
    </row>
    <row r="139" spans="4:20" x14ac:dyDescent="0.25">
      <c r="D139" s="38" t="str">
        <f t="shared" si="8"/>
        <v/>
      </c>
      <c r="E139" s="38" t="str">
        <f t="shared" si="9"/>
        <v/>
      </c>
      <c r="G139" s="1"/>
      <c r="L139" s="39" t="str">
        <f t="shared" si="10"/>
        <v/>
      </c>
      <c r="T139" s="39" t="str">
        <f t="shared" si="11"/>
        <v/>
      </c>
    </row>
    <row r="140" spans="4:20" x14ac:dyDescent="0.25">
      <c r="D140" s="38" t="str">
        <f t="shared" si="8"/>
        <v/>
      </c>
      <c r="E140" s="38" t="str">
        <f t="shared" si="9"/>
        <v/>
      </c>
      <c r="G140" s="1"/>
      <c r="L140" s="39" t="str">
        <f t="shared" si="10"/>
        <v/>
      </c>
      <c r="T140" s="39" t="str">
        <f t="shared" si="11"/>
        <v/>
      </c>
    </row>
    <row r="141" spans="4:20" x14ac:dyDescent="0.25">
      <c r="D141" s="38" t="str">
        <f t="shared" si="8"/>
        <v/>
      </c>
      <c r="E141" s="38" t="str">
        <f t="shared" si="9"/>
        <v/>
      </c>
      <c r="G141" s="1"/>
      <c r="L141" s="39" t="str">
        <f t="shared" si="10"/>
        <v/>
      </c>
      <c r="T141" s="39" t="str">
        <f t="shared" si="11"/>
        <v/>
      </c>
    </row>
    <row r="142" spans="4:20" x14ac:dyDescent="0.25">
      <c r="D142" s="38" t="str">
        <f t="shared" si="8"/>
        <v/>
      </c>
      <c r="E142" s="38" t="str">
        <f t="shared" si="9"/>
        <v/>
      </c>
      <c r="G142" s="1"/>
      <c r="L142" s="39" t="str">
        <f t="shared" si="10"/>
        <v/>
      </c>
      <c r="T142" s="39" t="str">
        <f t="shared" si="11"/>
        <v/>
      </c>
    </row>
    <row r="143" spans="4:20" x14ac:dyDescent="0.25">
      <c r="D143" s="38" t="str">
        <f t="shared" si="8"/>
        <v/>
      </c>
      <c r="E143" s="38" t="str">
        <f t="shared" si="9"/>
        <v/>
      </c>
      <c r="G143" s="1"/>
      <c r="L143" s="39" t="str">
        <f t="shared" si="10"/>
        <v/>
      </c>
      <c r="T143" s="39" t="str">
        <f t="shared" si="11"/>
        <v/>
      </c>
    </row>
    <row r="144" spans="4:20" x14ac:dyDescent="0.25">
      <c r="D144" s="38" t="str">
        <f t="shared" si="8"/>
        <v/>
      </c>
      <c r="E144" s="38" t="str">
        <f t="shared" si="9"/>
        <v/>
      </c>
      <c r="G144" s="1"/>
      <c r="L144" s="39" t="str">
        <f t="shared" si="10"/>
        <v/>
      </c>
      <c r="T144" s="39" t="str">
        <f t="shared" si="11"/>
        <v/>
      </c>
    </row>
    <row r="145" spans="4:20" x14ac:dyDescent="0.25">
      <c r="D145" s="38" t="str">
        <f t="shared" si="8"/>
        <v/>
      </c>
      <c r="E145" s="38" t="str">
        <f t="shared" si="9"/>
        <v/>
      </c>
      <c r="G145" s="1"/>
      <c r="L145" s="39" t="str">
        <f t="shared" si="10"/>
        <v/>
      </c>
      <c r="T145" s="39" t="str">
        <f t="shared" si="11"/>
        <v/>
      </c>
    </row>
    <row r="146" spans="4:20" x14ac:dyDescent="0.25">
      <c r="D146" s="38" t="str">
        <f t="shared" si="8"/>
        <v/>
      </c>
      <c r="E146" s="38" t="str">
        <f t="shared" si="9"/>
        <v/>
      </c>
      <c r="G146" s="1"/>
      <c r="L146" s="39" t="str">
        <f t="shared" si="10"/>
        <v/>
      </c>
      <c r="T146" s="39" t="str">
        <f t="shared" si="11"/>
        <v/>
      </c>
    </row>
    <row r="147" spans="4:20" x14ac:dyDescent="0.25">
      <c r="D147" s="38" t="str">
        <f t="shared" si="8"/>
        <v/>
      </c>
      <c r="E147" s="38" t="str">
        <f t="shared" si="9"/>
        <v/>
      </c>
      <c r="G147" s="1"/>
      <c r="L147" s="39" t="str">
        <f t="shared" si="10"/>
        <v/>
      </c>
      <c r="T147" s="39" t="str">
        <f t="shared" si="11"/>
        <v/>
      </c>
    </row>
    <row r="148" spans="4:20" x14ac:dyDescent="0.25">
      <c r="D148" s="38" t="str">
        <f t="shared" si="8"/>
        <v/>
      </c>
      <c r="E148" s="38" t="str">
        <f t="shared" si="9"/>
        <v/>
      </c>
      <c r="G148" s="1"/>
      <c r="L148" s="39" t="str">
        <f t="shared" si="10"/>
        <v/>
      </c>
      <c r="T148" s="39" t="str">
        <f t="shared" si="11"/>
        <v/>
      </c>
    </row>
    <row r="149" spans="4:20" x14ac:dyDescent="0.25">
      <c r="D149" s="38" t="str">
        <f t="shared" si="8"/>
        <v/>
      </c>
      <c r="E149" s="38" t="str">
        <f t="shared" si="9"/>
        <v/>
      </c>
      <c r="G149" s="1"/>
      <c r="L149" s="39" t="str">
        <f t="shared" si="10"/>
        <v/>
      </c>
      <c r="T149" s="39" t="str">
        <f t="shared" si="11"/>
        <v/>
      </c>
    </row>
    <row r="150" spans="4:20" x14ac:dyDescent="0.25">
      <c r="D150" s="38" t="str">
        <f t="shared" si="8"/>
        <v/>
      </c>
      <c r="E150" s="38" t="str">
        <f t="shared" si="9"/>
        <v/>
      </c>
      <c r="G150" s="1"/>
      <c r="L150" s="39" t="str">
        <f t="shared" si="10"/>
        <v/>
      </c>
      <c r="T150" s="39" t="str">
        <f t="shared" si="11"/>
        <v/>
      </c>
    </row>
    <row r="151" spans="4:20" x14ac:dyDescent="0.25">
      <c r="D151" s="38" t="str">
        <f t="shared" si="8"/>
        <v/>
      </c>
      <c r="E151" s="38" t="str">
        <f t="shared" si="9"/>
        <v/>
      </c>
      <c r="G151" s="1"/>
      <c r="L151" s="39" t="str">
        <f t="shared" si="10"/>
        <v/>
      </c>
      <c r="T151" s="39" t="str">
        <f t="shared" si="11"/>
        <v/>
      </c>
    </row>
    <row r="152" spans="4:20" x14ac:dyDescent="0.25">
      <c r="D152" s="38" t="str">
        <f t="shared" si="8"/>
        <v/>
      </c>
      <c r="E152" s="38" t="str">
        <f t="shared" si="9"/>
        <v/>
      </c>
      <c r="G152" s="1"/>
      <c r="L152" s="39" t="str">
        <f t="shared" si="10"/>
        <v/>
      </c>
      <c r="T152" s="39" t="str">
        <f t="shared" si="11"/>
        <v/>
      </c>
    </row>
    <row r="153" spans="4:20" x14ac:dyDescent="0.25">
      <c r="D153" s="38" t="str">
        <f t="shared" si="8"/>
        <v/>
      </c>
      <c r="E153" s="38" t="str">
        <f t="shared" si="9"/>
        <v/>
      </c>
      <c r="G153" s="1"/>
      <c r="L153" s="39" t="str">
        <f t="shared" si="10"/>
        <v/>
      </c>
      <c r="T153" s="39" t="str">
        <f t="shared" si="11"/>
        <v/>
      </c>
    </row>
    <row r="154" spans="4:20" x14ac:dyDescent="0.25">
      <c r="D154" s="38" t="str">
        <f t="shared" si="8"/>
        <v/>
      </c>
      <c r="E154" s="38" t="str">
        <f t="shared" si="9"/>
        <v/>
      </c>
      <c r="G154" s="1"/>
      <c r="L154" s="39" t="str">
        <f t="shared" si="10"/>
        <v/>
      </c>
      <c r="T154" s="39" t="str">
        <f t="shared" si="11"/>
        <v/>
      </c>
    </row>
    <row r="155" spans="4:20" x14ac:dyDescent="0.25">
      <c r="D155" s="38" t="str">
        <f t="shared" si="8"/>
        <v/>
      </c>
      <c r="E155" s="38" t="str">
        <f t="shared" si="9"/>
        <v/>
      </c>
      <c r="G155" s="1"/>
      <c r="L155" s="39" t="str">
        <f t="shared" si="10"/>
        <v/>
      </c>
      <c r="T155" s="39" t="str">
        <f t="shared" si="11"/>
        <v/>
      </c>
    </row>
    <row r="156" spans="4:20" x14ac:dyDescent="0.25">
      <c r="D156" s="38" t="str">
        <f t="shared" si="8"/>
        <v/>
      </c>
      <c r="E156" s="38" t="str">
        <f t="shared" si="9"/>
        <v/>
      </c>
      <c r="G156" s="1"/>
      <c r="L156" s="39" t="str">
        <f t="shared" si="10"/>
        <v/>
      </c>
      <c r="T156" s="39" t="str">
        <f t="shared" si="11"/>
        <v/>
      </c>
    </row>
    <row r="157" spans="4:20" x14ac:dyDescent="0.25">
      <c r="D157" s="38" t="str">
        <f t="shared" si="8"/>
        <v/>
      </c>
      <c r="E157" s="38" t="str">
        <f t="shared" si="9"/>
        <v/>
      </c>
      <c r="G157" s="1"/>
      <c r="L157" s="39" t="str">
        <f t="shared" si="10"/>
        <v/>
      </c>
      <c r="T157" s="39" t="str">
        <f t="shared" si="11"/>
        <v/>
      </c>
    </row>
    <row r="158" spans="4:20" x14ac:dyDescent="0.25">
      <c r="D158" s="38" t="str">
        <f t="shared" si="8"/>
        <v/>
      </c>
      <c r="E158" s="38" t="str">
        <f t="shared" si="9"/>
        <v/>
      </c>
      <c r="G158" s="1"/>
      <c r="L158" s="39" t="str">
        <f t="shared" si="10"/>
        <v/>
      </c>
      <c r="T158" s="39" t="str">
        <f t="shared" si="11"/>
        <v/>
      </c>
    </row>
    <row r="159" spans="4:20" x14ac:dyDescent="0.25">
      <c r="D159" s="38" t="str">
        <f t="shared" si="8"/>
        <v/>
      </c>
      <c r="E159" s="38" t="str">
        <f t="shared" si="9"/>
        <v/>
      </c>
      <c r="G159" s="1"/>
      <c r="L159" s="39" t="str">
        <f t="shared" si="10"/>
        <v/>
      </c>
      <c r="T159" s="39" t="str">
        <f t="shared" si="11"/>
        <v/>
      </c>
    </row>
    <row r="160" spans="4:20" x14ac:dyDescent="0.25">
      <c r="D160" s="38" t="str">
        <f t="shared" si="8"/>
        <v/>
      </c>
      <c r="E160" s="38" t="str">
        <f t="shared" si="9"/>
        <v/>
      </c>
      <c r="G160" s="1"/>
      <c r="L160" s="39" t="str">
        <f t="shared" si="10"/>
        <v/>
      </c>
      <c r="T160" s="39" t="str">
        <f t="shared" si="11"/>
        <v/>
      </c>
    </row>
    <row r="161" spans="4:20" x14ac:dyDescent="0.25">
      <c r="D161" s="38" t="str">
        <f t="shared" si="8"/>
        <v/>
      </c>
      <c r="E161" s="38" t="str">
        <f t="shared" si="9"/>
        <v/>
      </c>
      <c r="G161" s="1"/>
      <c r="L161" s="39" t="str">
        <f t="shared" si="10"/>
        <v/>
      </c>
      <c r="T161" s="39" t="str">
        <f t="shared" si="11"/>
        <v/>
      </c>
    </row>
    <row r="162" spans="4:20" x14ac:dyDescent="0.25">
      <c r="D162" s="38" t="str">
        <f t="shared" si="8"/>
        <v/>
      </c>
      <c r="E162" s="38" t="str">
        <f t="shared" si="9"/>
        <v/>
      </c>
      <c r="G162" s="1"/>
      <c r="L162" s="39" t="str">
        <f t="shared" si="10"/>
        <v/>
      </c>
      <c r="T162" s="39" t="str">
        <f t="shared" si="11"/>
        <v/>
      </c>
    </row>
    <row r="163" spans="4:20" x14ac:dyDescent="0.25">
      <c r="D163" s="38" t="str">
        <f t="shared" si="8"/>
        <v/>
      </c>
      <c r="E163" s="38" t="str">
        <f t="shared" si="9"/>
        <v/>
      </c>
      <c r="G163" s="1"/>
      <c r="L163" s="39" t="str">
        <f t="shared" si="10"/>
        <v/>
      </c>
      <c r="T163" s="39" t="str">
        <f t="shared" si="11"/>
        <v/>
      </c>
    </row>
    <row r="164" spans="4:20" x14ac:dyDescent="0.25">
      <c r="D164" s="38" t="str">
        <f t="shared" si="8"/>
        <v/>
      </c>
      <c r="E164" s="38" t="str">
        <f t="shared" si="9"/>
        <v/>
      </c>
      <c r="G164" s="1"/>
      <c r="L164" s="39" t="str">
        <f t="shared" si="10"/>
        <v/>
      </c>
      <c r="T164" s="39" t="str">
        <f t="shared" si="11"/>
        <v/>
      </c>
    </row>
    <row r="165" spans="4:20" x14ac:dyDescent="0.25">
      <c r="D165" s="38" t="str">
        <f t="shared" si="8"/>
        <v/>
      </c>
      <c r="E165" s="38" t="str">
        <f t="shared" si="9"/>
        <v/>
      </c>
      <c r="G165" s="1"/>
      <c r="L165" s="39" t="str">
        <f t="shared" si="10"/>
        <v/>
      </c>
      <c r="T165" s="39" t="str">
        <f t="shared" si="11"/>
        <v/>
      </c>
    </row>
    <row r="166" spans="4:20" x14ac:dyDescent="0.25">
      <c r="D166" s="38" t="str">
        <f t="shared" si="8"/>
        <v/>
      </c>
      <c r="E166" s="38" t="str">
        <f t="shared" si="9"/>
        <v/>
      </c>
      <c r="G166" s="1"/>
      <c r="L166" s="39" t="str">
        <f t="shared" si="10"/>
        <v/>
      </c>
      <c r="T166" s="39" t="str">
        <f t="shared" si="11"/>
        <v/>
      </c>
    </row>
    <row r="167" spans="4:20" x14ac:dyDescent="0.25">
      <c r="D167" s="38" t="str">
        <f t="shared" si="8"/>
        <v/>
      </c>
      <c r="E167" s="38" t="str">
        <f t="shared" si="9"/>
        <v/>
      </c>
      <c r="G167" s="1"/>
      <c r="L167" s="39" t="str">
        <f t="shared" si="10"/>
        <v/>
      </c>
      <c r="T167" s="39" t="str">
        <f t="shared" si="11"/>
        <v/>
      </c>
    </row>
    <row r="168" spans="4:20" x14ac:dyDescent="0.25">
      <c r="D168" s="38" t="str">
        <f t="shared" si="8"/>
        <v/>
      </c>
      <c r="E168" s="38" t="str">
        <f t="shared" si="9"/>
        <v/>
      </c>
      <c r="G168" s="1"/>
      <c r="L168" s="39" t="str">
        <f t="shared" si="10"/>
        <v/>
      </c>
      <c r="T168" s="39" t="str">
        <f t="shared" si="11"/>
        <v/>
      </c>
    </row>
    <row r="169" spans="4:20" x14ac:dyDescent="0.25">
      <c r="D169" s="38" t="str">
        <f t="shared" si="8"/>
        <v/>
      </c>
      <c r="E169" s="38" t="str">
        <f t="shared" si="9"/>
        <v/>
      </c>
      <c r="G169" s="1"/>
      <c r="L169" s="39" t="str">
        <f t="shared" si="10"/>
        <v/>
      </c>
      <c r="T169" s="39" t="str">
        <f t="shared" si="11"/>
        <v/>
      </c>
    </row>
    <row r="170" spans="4:20" x14ac:dyDescent="0.25">
      <c r="D170" s="38" t="str">
        <f t="shared" si="8"/>
        <v/>
      </c>
      <c r="E170" s="38" t="str">
        <f t="shared" si="9"/>
        <v/>
      </c>
      <c r="G170" s="1"/>
      <c r="L170" s="39" t="str">
        <f t="shared" si="10"/>
        <v/>
      </c>
      <c r="T170" s="39" t="str">
        <f t="shared" si="11"/>
        <v/>
      </c>
    </row>
    <row r="171" spans="4:20" x14ac:dyDescent="0.25">
      <c r="D171" s="38" t="str">
        <f t="shared" si="8"/>
        <v/>
      </c>
      <c r="E171" s="38" t="str">
        <f t="shared" si="9"/>
        <v/>
      </c>
      <c r="G171" s="1"/>
      <c r="L171" s="39" t="str">
        <f t="shared" si="10"/>
        <v/>
      </c>
      <c r="T171" s="39" t="str">
        <f t="shared" si="11"/>
        <v/>
      </c>
    </row>
    <row r="172" spans="4:20" x14ac:dyDescent="0.25">
      <c r="D172" s="38" t="str">
        <f t="shared" si="8"/>
        <v/>
      </c>
      <c r="E172" s="38" t="str">
        <f t="shared" si="9"/>
        <v/>
      </c>
      <c r="G172" s="1"/>
      <c r="L172" s="39" t="str">
        <f t="shared" si="10"/>
        <v/>
      </c>
      <c r="T172" s="39" t="str">
        <f t="shared" si="11"/>
        <v/>
      </c>
    </row>
    <row r="173" spans="4:20" x14ac:dyDescent="0.25">
      <c r="D173" s="38" t="str">
        <f t="shared" si="8"/>
        <v/>
      </c>
      <c r="E173" s="38" t="str">
        <f t="shared" si="9"/>
        <v/>
      </c>
      <c r="G173" s="1"/>
      <c r="L173" s="39" t="str">
        <f t="shared" si="10"/>
        <v/>
      </c>
      <c r="T173" s="39" t="str">
        <f t="shared" si="11"/>
        <v/>
      </c>
    </row>
    <row r="174" spans="4:20" x14ac:dyDescent="0.25">
      <c r="D174" s="38" t="str">
        <f t="shared" si="8"/>
        <v/>
      </c>
      <c r="E174" s="38" t="str">
        <f t="shared" si="9"/>
        <v/>
      </c>
      <c r="G174" s="1"/>
      <c r="L174" s="39" t="str">
        <f t="shared" si="10"/>
        <v/>
      </c>
      <c r="T174" s="39" t="str">
        <f t="shared" si="11"/>
        <v/>
      </c>
    </row>
    <row r="175" spans="4:20" x14ac:dyDescent="0.25">
      <c r="D175" s="38" t="str">
        <f t="shared" si="8"/>
        <v/>
      </c>
      <c r="E175" s="38" t="str">
        <f t="shared" si="9"/>
        <v/>
      </c>
      <c r="G175" s="1"/>
      <c r="L175" s="39" t="str">
        <f t="shared" si="10"/>
        <v/>
      </c>
      <c r="T175" s="39" t="str">
        <f t="shared" si="11"/>
        <v/>
      </c>
    </row>
    <row r="176" spans="4:20" x14ac:dyDescent="0.25">
      <c r="D176" s="38" t="str">
        <f t="shared" si="8"/>
        <v/>
      </c>
      <c r="E176" s="38" t="str">
        <f t="shared" si="9"/>
        <v/>
      </c>
      <c r="G176" s="1"/>
      <c r="L176" s="39" t="str">
        <f t="shared" si="10"/>
        <v/>
      </c>
      <c r="T176" s="39" t="str">
        <f t="shared" si="11"/>
        <v/>
      </c>
    </row>
    <row r="177" spans="4:20" x14ac:dyDescent="0.25">
      <c r="D177" s="38" t="str">
        <f t="shared" si="8"/>
        <v/>
      </c>
      <c r="E177" s="38" t="str">
        <f t="shared" si="9"/>
        <v/>
      </c>
      <c r="G177" s="1"/>
      <c r="L177" s="39" t="str">
        <f t="shared" si="10"/>
        <v/>
      </c>
      <c r="T177" s="39" t="str">
        <f t="shared" si="11"/>
        <v/>
      </c>
    </row>
    <row r="178" spans="4:20" x14ac:dyDescent="0.25">
      <c r="D178" s="38" t="str">
        <f t="shared" si="8"/>
        <v/>
      </c>
      <c r="E178" s="38" t="str">
        <f t="shared" si="9"/>
        <v/>
      </c>
      <c r="G178" s="1"/>
      <c r="L178" s="39" t="str">
        <f t="shared" si="10"/>
        <v/>
      </c>
      <c r="T178" s="39" t="str">
        <f t="shared" si="11"/>
        <v/>
      </c>
    </row>
    <row r="179" spans="4:20" x14ac:dyDescent="0.25">
      <c r="D179" s="38" t="str">
        <f t="shared" si="8"/>
        <v/>
      </c>
      <c r="E179" s="38" t="str">
        <f t="shared" si="9"/>
        <v/>
      </c>
      <c r="G179" s="1"/>
      <c r="L179" s="39" t="str">
        <f t="shared" si="10"/>
        <v/>
      </c>
      <c r="T179" s="39" t="str">
        <f t="shared" si="11"/>
        <v/>
      </c>
    </row>
    <row r="180" spans="4:20" x14ac:dyDescent="0.25">
      <c r="D180" s="38" t="str">
        <f t="shared" si="8"/>
        <v/>
      </c>
      <c r="E180" s="38" t="str">
        <f t="shared" si="9"/>
        <v/>
      </c>
      <c r="G180" s="1"/>
      <c r="L180" s="39" t="str">
        <f t="shared" si="10"/>
        <v/>
      </c>
      <c r="T180" s="39" t="str">
        <f t="shared" si="11"/>
        <v/>
      </c>
    </row>
    <row r="181" spans="4:20" x14ac:dyDescent="0.25">
      <c r="D181" s="38" t="str">
        <f t="shared" si="8"/>
        <v/>
      </c>
      <c r="E181" s="38" t="str">
        <f t="shared" si="9"/>
        <v/>
      </c>
      <c r="G181" s="1"/>
      <c r="L181" s="39" t="str">
        <f t="shared" si="10"/>
        <v/>
      </c>
      <c r="T181" s="39" t="str">
        <f t="shared" si="11"/>
        <v/>
      </c>
    </row>
    <row r="182" spans="4:20" x14ac:dyDescent="0.25">
      <c r="D182" s="38" t="str">
        <f t="shared" si="8"/>
        <v/>
      </c>
      <c r="E182" s="38" t="str">
        <f t="shared" si="9"/>
        <v/>
      </c>
      <c r="G182" s="1"/>
      <c r="L182" s="39" t="str">
        <f t="shared" si="10"/>
        <v/>
      </c>
      <c r="T182" s="39" t="str">
        <f t="shared" si="11"/>
        <v/>
      </c>
    </row>
    <row r="183" spans="4:20" x14ac:dyDescent="0.25">
      <c r="D183" s="38" t="str">
        <f t="shared" si="8"/>
        <v/>
      </c>
      <c r="E183" s="38" t="str">
        <f t="shared" si="9"/>
        <v/>
      </c>
      <c r="G183" s="1"/>
      <c r="L183" s="39" t="str">
        <f t="shared" si="10"/>
        <v/>
      </c>
      <c r="T183" s="39" t="str">
        <f t="shared" si="11"/>
        <v/>
      </c>
    </row>
    <row r="184" spans="4:20" x14ac:dyDescent="0.25">
      <c r="D184" s="38" t="str">
        <f t="shared" si="8"/>
        <v/>
      </c>
      <c r="E184" s="38" t="str">
        <f t="shared" si="9"/>
        <v/>
      </c>
      <c r="G184" s="1"/>
      <c r="L184" s="39" t="str">
        <f t="shared" si="10"/>
        <v/>
      </c>
      <c r="T184" s="39" t="str">
        <f t="shared" si="11"/>
        <v/>
      </c>
    </row>
    <row r="185" spans="4:20" x14ac:dyDescent="0.25">
      <c r="D185" s="38" t="str">
        <f t="shared" si="8"/>
        <v/>
      </c>
      <c r="E185" s="38" t="str">
        <f t="shared" si="9"/>
        <v/>
      </c>
      <c r="G185" s="1"/>
      <c r="L185" s="39" t="str">
        <f t="shared" si="10"/>
        <v/>
      </c>
      <c r="T185" s="39" t="str">
        <f t="shared" si="11"/>
        <v/>
      </c>
    </row>
    <row r="186" spans="4:20" x14ac:dyDescent="0.25">
      <c r="D186" s="38" t="str">
        <f t="shared" si="8"/>
        <v/>
      </c>
      <c r="E186" s="38" t="str">
        <f t="shared" si="9"/>
        <v/>
      </c>
      <c r="G186" s="1"/>
      <c r="L186" s="39" t="str">
        <f t="shared" si="10"/>
        <v/>
      </c>
      <c r="T186" s="39" t="str">
        <f t="shared" si="11"/>
        <v/>
      </c>
    </row>
    <row r="187" spans="4:20" x14ac:dyDescent="0.25">
      <c r="D187" s="38" t="str">
        <f t="shared" si="8"/>
        <v/>
      </c>
      <c r="E187" s="38" t="str">
        <f t="shared" si="9"/>
        <v/>
      </c>
      <c r="G187" s="1"/>
      <c r="L187" s="39" t="str">
        <f t="shared" si="10"/>
        <v/>
      </c>
      <c r="T187" s="39" t="str">
        <f t="shared" si="11"/>
        <v/>
      </c>
    </row>
    <row r="188" spans="4:20" x14ac:dyDescent="0.25">
      <c r="D188" s="38" t="str">
        <f t="shared" si="8"/>
        <v/>
      </c>
      <c r="E188" s="38" t="str">
        <f t="shared" si="9"/>
        <v/>
      </c>
      <c r="G188" s="1"/>
      <c r="L188" s="39" t="str">
        <f t="shared" si="10"/>
        <v/>
      </c>
      <c r="T188" s="39" t="str">
        <f t="shared" si="11"/>
        <v/>
      </c>
    </row>
    <row r="189" spans="4:20" x14ac:dyDescent="0.25">
      <c r="D189" s="38" t="str">
        <f t="shared" si="8"/>
        <v/>
      </c>
      <c r="E189" s="38" t="str">
        <f t="shared" si="9"/>
        <v/>
      </c>
      <c r="G189" s="1"/>
      <c r="L189" s="39" t="str">
        <f t="shared" si="10"/>
        <v/>
      </c>
      <c r="T189" s="39" t="str">
        <f t="shared" si="11"/>
        <v/>
      </c>
    </row>
    <row r="190" spans="4:20" x14ac:dyDescent="0.25">
      <c r="D190" s="38" t="str">
        <f t="shared" si="8"/>
        <v/>
      </c>
      <c r="E190" s="38" t="str">
        <f t="shared" si="9"/>
        <v/>
      </c>
      <c r="G190" s="1"/>
      <c r="L190" s="39" t="str">
        <f t="shared" si="10"/>
        <v/>
      </c>
      <c r="T190" s="39" t="str">
        <f t="shared" si="11"/>
        <v/>
      </c>
    </row>
    <row r="191" spans="4:20" x14ac:dyDescent="0.25">
      <c r="D191" s="38" t="str">
        <f t="shared" si="8"/>
        <v/>
      </c>
      <c r="E191" s="38" t="str">
        <f t="shared" si="9"/>
        <v/>
      </c>
      <c r="G191" s="1"/>
      <c r="L191" s="39" t="str">
        <f t="shared" si="10"/>
        <v/>
      </c>
      <c r="T191" s="39" t="str">
        <f t="shared" si="11"/>
        <v/>
      </c>
    </row>
    <row r="192" spans="4:20" x14ac:dyDescent="0.25">
      <c r="D192" s="38" t="str">
        <f t="shared" si="8"/>
        <v/>
      </c>
      <c r="E192" s="38" t="str">
        <f t="shared" si="9"/>
        <v/>
      </c>
      <c r="G192" s="1"/>
      <c r="L192" s="39" t="str">
        <f t="shared" si="10"/>
        <v/>
      </c>
      <c r="T192" s="39" t="str">
        <f t="shared" si="11"/>
        <v/>
      </c>
    </row>
    <row r="193" spans="4:20" x14ac:dyDescent="0.25">
      <c r="D193" s="38" t="str">
        <f t="shared" si="8"/>
        <v/>
      </c>
      <c r="E193" s="38" t="str">
        <f t="shared" si="9"/>
        <v/>
      </c>
      <c r="G193" s="1"/>
      <c r="L193" s="39" t="str">
        <f t="shared" si="10"/>
        <v/>
      </c>
      <c r="T193" s="39" t="str">
        <f t="shared" si="11"/>
        <v/>
      </c>
    </row>
    <row r="194" spans="4:20" x14ac:dyDescent="0.25">
      <c r="D194" s="38" t="str">
        <f t="shared" ref="D194:D257" si="12">IF($B194="", "", CHOOSE(MONTH($B194), "Gennaio","Febbraio","Marzo","Aprile","Maggio","Giugno","Luglio","Agosto","Settembre","Ottobre","Novembre","Dicembre"))</f>
        <v/>
      </c>
      <c r="E194" s="38" t="str">
        <f t="shared" ref="E194:E257" si="13">IF($B194="", "", CHOOSE(WEEKDAY($B194,2), "Lunedì","Martedì","Mercoledì","Giovedì","Venerdì","Sabato","Domenica"))</f>
        <v/>
      </c>
      <c r="G194" s="1"/>
      <c r="L194" s="39" t="str">
        <f t="shared" ref="L194:L257" si="14">IF($K194="Target", $G194*$H194, IF($K194="Stop Loss", -$G194, IF($K194="Breakeven", 0, "")))</f>
        <v/>
      </c>
      <c r="T194" s="39" t="str">
        <f t="shared" si="11"/>
        <v/>
      </c>
    </row>
    <row r="195" spans="4:20" x14ac:dyDescent="0.25">
      <c r="D195" s="38" t="str">
        <f t="shared" si="12"/>
        <v/>
      </c>
      <c r="E195" s="38" t="str">
        <f t="shared" si="13"/>
        <v/>
      </c>
      <c r="G195" s="1"/>
      <c r="L195" s="39" t="str">
        <f t="shared" si="14"/>
        <v/>
      </c>
      <c r="T195" s="39" t="str">
        <f t="shared" ref="T195:T258" si="15">IF($L195="", "", $T194 + $L195)</f>
        <v/>
      </c>
    </row>
    <row r="196" spans="4:20" x14ac:dyDescent="0.25">
      <c r="D196" s="38" t="str">
        <f t="shared" si="12"/>
        <v/>
      </c>
      <c r="E196" s="38" t="str">
        <f t="shared" si="13"/>
        <v/>
      </c>
      <c r="G196" s="1"/>
      <c r="L196" s="39" t="str">
        <f t="shared" si="14"/>
        <v/>
      </c>
      <c r="T196" s="39" t="str">
        <f t="shared" si="15"/>
        <v/>
      </c>
    </row>
    <row r="197" spans="4:20" x14ac:dyDescent="0.25">
      <c r="D197" s="38" t="str">
        <f t="shared" si="12"/>
        <v/>
      </c>
      <c r="E197" s="38" t="str">
        <f t="shared" si="13"/>
        <v/>
      </c>
      <c r="G197" s="1"/>
      <c r="L197" s="39" t="str">
        <f t="shared" si="14"/>
        <v/>
      </c>
      <c r="T197" s="39" t="str">
        <f t="shared" si="15"/>
        <v/>
      </c>
    </row>
    <row r="198" spans="4:20" x14ac:dyDescent="0.25">
      <c r="D198" s="38" t="str">
        <f t="shared" si="12"/>
        <v/>
      </c>
      <c r="E198" s="38" t="str">
        <f t="shared" si="13"/>
        <v/>
      </c>
      <c r="G198" s="1"/>
      <c r="L198" s="39" t="str">
        <f t="shared" si="14"/>
        <v/>
      </c>
      <c r="T198" s="39" t="str">
        <f t="shared" si="15"/>
        <v/>
      </c>
    </row>
    <row r="199" spans="4:20" x14ac:dyDescent="0.25">
      <c r="D199" s="38" t="str">
        <f t="shared" si="12"/>
        <v/>
      </c>
      <c r="E199" s="38" t="str">
        <f t="shared" si="13"/>
        <v/>
      </c>
      <c r="G199" s="1"/>
      <c r="L199" s="39" t="str">
        <f t="shared" si="14"/>
        <v/>
      </c>
      <c r="T199" s="39" t="str">
        <f t="shared" si="15"/>
        <v/>
      </c>
    </row>
    <row r="200" spans="4:20" x14ac:dyDescent="0.25">
      <c r="D200" s="38" t="str">
        <f t="shared" si="12"/>
        <v/>
      </c>
      <c r="E200" s="38" t="str">
        <f t="shared" si="13"/>
        <v/>
      </c>
      <c r="G200" s="1"/>
      <c r="L200" s="39" t="str">
        <f t="shared" si="14"/>
        <v/>
      </c>
      <c r="T200" s="39" t="str">
        <f t="shared" si="15"/>
        <v/>
      </c>
    </row>
    <row r="201" spans="4:20" x14ac:dyDescent="0.25">
      <c r="D201" s="38" t="str">
        <f t="shared" si="12"/>
        <v/>
      </c>
      <c r="E201" s="38" t="str">
        <f t="shared" si="13"/>
        <v/>
      </c>
      <c r="G201" s="1"/>
      <c r="L201" s="39" t="str">
        <f t="shared" si="14"/>
        <v/>
      </c>
      <c r="T201" s="39" t="str">
        <f t="shared" si="15"/>
        <v/>
      </c>
    </row>
    <row r="202" spans="4:20" x14ac:dyDescent="0.25">
      <c r="D202" s="38" t="str">
        <f t="shared" si="12"/>
        <v/>
      </c>
      <c r="E202" s="38" t="str">
        <f t="shared" si="13"/>
        <v/>
      </c>
      <c r="G202" s="1"/>
      <c r="L202" s="39" t="str">
        <f t="shared" si="14"/>
        <v/>
      </c>
      <c r="T202" s="39" t="str">
        <f t="shared" si="15"/>
        <v/>
      </c>
    </row>
    <row r="203" spans="4:20" x14ac:dyDescent="0.25">
      <c r="D203" s="38" t="str">
        <f t="shared" si="12"/>
        <v/>
      </c>
      <c r="E203" s="38" t="str">
        <f t="shared" si="13"/>
        <v/>
      </c>
      <c r="G203" s="1"/>
      <c r="L203" s="39" t="str">
        <f t="shared" si="14"/>
        <v/>
      </c>
      <c r="T203" s="39" t="str">
        <f t="shared" si="15"/>
        <v/>
      </c>
    </row>
    <row r="204" spans="4:20" x14ac:dyDescent="0.25">
      <c r="D204" s="38" t="str">
        <f t="shared" si="12"/>
        <v/>
      </c>
      <c r="E204" s="38" t="str">
        <f t="shared" si="13"/>
        <v/>
      </c>
      <c r="G204" s="1"/>
      <c r="L204" s="39" t="str">
        <f t="shared" si="14"/>
        <v/>
      </c>
      <c r="T204" s="39" t="str">
        <f t="shared" si="15"/>
        <v/>
      </c>
    </row>
    <row r="205" spans="4:20" x14ac:dyDescent="0.25">
      <c r="D205" s="38" t="str">
        <f t="shared" si="12"/>
        <v/>
      </c>
      <c r="E205" s="38" t="str">
        <f t="shared" si="13"/>
        <v/>
      </c>
      <c r="G205" s="1"/>
      <c r="L205" s="39" t="str">
        <f t="shared" si="14"/>
        <v/>
      </c>
      <c r="T205" s="39" t="str">
        <f t="shared" si="15"/>
        <v/>
      </c>
    </row>
    <row r="206" spans="4:20" x14ac:dyDescent="0.25">
      <c r="D206" s="38" t="str">
        <f t="shared" si="12"/>
        <v/>
      </c>
      <c r="E206" s="38" t="str">
        <f t="shared" si="13"/>
        <v/>
      </c>
      <c r="G206" s="1"/>
      <c r="L206" s="39" t="str">
        <f t="shared" si="14"/>
        <v/>
      </c>
      <c r="T206" s="39" t="str">
        <f t="shared" si="15"/>
        <v/>
      </c>
    </row>
    <row r="207" spans="4:20" x14ac:dyDescent="0.25">
      <c r="D207" s="38" t="str">
        <f t="shared" si="12"/>
        <v/>
      </c>
      <c r="E207" s="38" t="str">
        <f t="shared" si="13"/>
        <v/>
      </c>
      <c r="G207" s="1"/>
      <c r="L207" s="39" t="str">
        <f t="shared" si="14"/>
        <v/>
      </c>
      <c r="T207" s="39" t="str">
        <f t="shared" si="15"/>
        <v/>
      </c>
    </row>
    <row r="208" spans="4:20" x14ac:dyDescent="0.25">
      <c r="D208" s="38" t="str">
        <f t="shared" si="12"/>
        <v/>
      </c>
      <c r="E208" s="38" t="str">
        <f t="shared" si="13"/>
        <v/>
      </c>
      <c r="G208" s="1"/>
      <c r="L208" s="39" t="str">
        <f t="shared" si="14"/>
        <v/>
      </c>
      <c r="T208" s="39" t="str">
        <f t="shared" si="15"/>
        <v/>
      </c>
    </row>
    <row r="209" spans="4:20" x14ac:dyDescent="0.25">
      <c r="D209" s="38" t="str">
        <f t="shared" si="12"/>
        <v/>
      </c>
      <c r="E209" s="38" t="str">
        <f t="shared" si="13"/>
        <v/>
      </c>
      <c r="G209" s="1"/>
      <c r="L209" s="39" t="str">
        <f t="shared" si="14"/>
        <v/>
      </c>
      <c r="T209" s="39" t="str">
        <f t="shared" si="15"/>
        <v/>
      </c>
    </row>
    <row r="210" spans="4:20" x14ac:dyDescent="0.25">
      <c r="D210" s="38" t="str">
        <f t="shared" si="12"/>
        <v/>
      </c>
      <c r="E210" s="38" t="str">
        <f t="shared" si="13"/>
        <v/>
      </c>
      <c r="G210" s="1"/>
      <c r="L210" s="39" t="str">
        <f t="shared" si="14"/>
        <v/>
      </c>
      <c r="T210" s="39" t="str">
        <f t="shared" si="15"/>
        <v/>
      </c>
    </row>
    <row r="211" spans="4:20" x14ac:dyDescent="0.25">
      <c r="D211" s="38" t="str">
        <f t="shared" si="12"/>
        <v/>
      </c>
      <c r="E211" s="38" t="str">
        <f t="shared" si="13"/>
        <v/>
      </c>
      <c r="G211" s="1"/>
      <c r="L211" s="39" t="str">
        <f t="shared" si="14"/>
        <v/>
      </c>
      <c r="T211" s="39" t="str">
        <f t="shared" si="15"/>
        <v/>
      </c>
    </row>
    <row r="212" spans="4:20" x14ac:dyDescent="0.25">
      <c r="D212" s="38" t="str">
        <f t="shared" si="12"/>
        <v/>
      </c>
      <c r="E212" s="38" t="str">
        <f t="shared" si="13"/>
        <v/>
      </c>
      <c r="G212" s="1"/>
      <c r="L212" s="39" t="str">
        <f t="shared" si="14"/>
        <v/>
      </c>
      <c r="T212" s="39" t="str">
        <f t="shared" si="15"/>
        <v/>
      </c>
    </row>
    <row r="213" spans="4:20" x14ac:dyDescent="0.25">
      <c r="D213" s="38" t="str">
        <f t="shared" si="12"/>
        <v/>
      </c>
      <c r="E213" s="38" t="str">
        <f t="shared" si="13"/>
        <v/>
      </c>
      <c r="G213" s="1"/>
      <c r="L213" s="39" t="str">
        <f t="shared" si="14"/>
        <v/>
      </c>
      <c r="T213" s="39" t="str">
        <f t="shared" si="15"/>
        <v/>
      </c>
    </row>
    <row r="214" spans="4:20" x14ac:dyDescent="0.25">
      <c r="D214" s="38" t="str">
        <f t="shared" si="12"/>
        <v/>
      </c>
      <c r="E214" s="38" t="str">
        <f t="shared" si="13"/>
        <v/>
      </c>
      <c r="G214" s="1"/>
      <c r="L214" s="39" t="str">
        <f t="shared" si="14"/>
        <v/>
      </c>
      <c r="T214" s="39" t="str">
        <f t="shared" si="15"/>
        <v/>
      </c>
    </row>
    <row r="215" spans="4:20" x14ac:dyDescent="0.25">
      <c r="D215" s="38" t="str">
        <f t="shared" si="12"/>
        <v/>
      </c>
      <c r="E215" s="38" t="str">
        <f t="shared" si="13"/>
        <v/>
      </c>
      <c r="G215" s="1"/>
      <c r="L215" s="39" t="str">
        <f t="shared" si="14"/>
        <v/>
      </c>
      <c r="T215" s="39" t="str">
        <f t="shared" si="15"/>
        <v/>
      </c>
    </row>
    <row r="216" spans="4:20" x14ac:dyDescent="0.25">
      <c r="D216" s="38" t="str">
        <f t="shared" si="12"/>
        <v/>
      </c>
      <c r="E216" s="38" t="str">
        <f t="shared" si="13"/>
        <v/>
      </c>
      <c r="G216" s="1"/>
      <c r="L216" s="39" t="str">
        <f t="shared" si="14"/>
        <v/>
      </c>
      <c r="T216" s="39" t="str">
        <f t="shared" si="15"/>
        <v/>
      </c>
    </row>
    <row r="217" spans="4:20" x14ac:dyDescent="0.25">
      <c r="D217" s="38" t="str">
        <f t="shared" si="12"/>
        <v/>
      </c>
      <c r="E217" s="38" t="str">
        <f t="shared" si="13"/>
        <v/>
      </c>
      <c r="G217" s="1"/>
      <c r="L217" s="39" t="str">
        <f t="shared" si="14"/>
        <v/>
      </c>
      <c r="T217" s="39" t="str">
        <f t="shared" si="15"/>
        <v/>
      </c>
    </row>
    <row r="218" spans="4:20" x14ac:dyDescent="0.25">
      <c r="D218" s="38" t="str">
        <f t="shared" si="12"/>
        <v/>
      </c>
      <c r="E218" s="38" t="str">
        <f t="shared" si="13"/>
        <v/>
      </c>
      <c r="G218" s="1"/>
      <c r="L218" s="39" t="str">
        <f t="shared" si="14"/>
        <v/>
      </c>
      <c r="T218" s="39" t="str">
        <f t="shared" si="15"/>
        <v/>
      </c>
    </row>
    <row r="219" spans="4:20" x14ac:dyDescent="0.25">
      <c r="D219" s="38" t="str">
        <f t="shared" si="12"/>
        <v/>
      </c>
      <c r="E219" s="38" t="str">
        <f t="shared" si="13"/>
        <v/>
      </c>
      <c r="G219" s="1"/>
      <c r="L219" s="39" t="str">
        <f t="shared" si="14"/>
        <v/>
      </c>
      <c r="T219" s="39" t="str">
        <f t="shared" si="15"/>
        <v/>
      </c>
    </row>
    <row r="220" spans="4:20" x14ac:dyDescent="0.25">
      <c r="D220" s="38" t="str">
        <f t="shared" si="12"/>
        <v/>
      </c>
      <c r="E220" s="38" t="str">
        <f t="shared" si="13"/>
        <v/>
      </c>
      <c r="G220" s="1"/>
      <c r="L220" s="39" t="str">
        <f t="shared" si="14"/>
        <v/>
      </c>
      <c r="T220" s="39" t="str">
        <f t="shared" si="15"/>
        <v/>
      </c>
    </row>
    <row r="221" spans="4:20" x14ac:dyDescent="0.25">
      <c r="D221" s="38" t="str">
        <f t="shared" si="12"/>
        <v/>
      </c>
      <c r="E221" s="38" t="str">
        <f t="shared" si="13"/>
        <v/>
      </c>
      <c r="G221" s="1"/>
      <c r="L221" s="39" t="str">
        <f t="shared" si="14"/>
        <v/>
      </c>
      <c r="T221" s="39" t="str">
        <f t="shared" si="15"/>
        <v/>
      </c>
    </row>
    <row r="222" spans="4:20" x14ac:dyDescent="0.25">
      <c r="D222" s="38" t="str">
        <f t="shared" si="12"/>
        <v/>
      </c>
      <c r="E222" s="38" t="str">
        <f t="shared" si="13"/>
        <v/>
      </c>
      <c r="G222" s="1"/>
      <c r="L222" s="39" t="str">
        <f t="shared" si="14"/>
        <v/>
      </c>
      <c r="T222" s="39" t="str">
        <f t="shared" si="15"/>
        <v/>
      </c>
    </row>
    <row r="223" spans="4:20" x14ac:dyDescent="0.25">
      <c r="D223" s="38" t="str">
        <f t="shared" si="12"/>
        <v/>
      </c>
      <c r="E223" s="38" t="str">
        <f t="shared" si="13"/>
        <v/>
      </c>
      <c r="G223" s="1"/>
      <c r="L223" s="39" t="str">
        <f t="shared" si="14"/>
        <v/>
      </c>
      <c r="T223" s="39" t="str">
        <f t="shared" si="15"/>
        <v/>
      </c>
    </row>
    <row r="224" spans="4:20" x14ac:dyDescent="0.25">
      <c r="D224" s="38" t="str">
        <f t="shared" si="12"/>
        <v/>
      </c>
      <c r="E224" s="38" t="str">
        <f t="shared" si="13"/>
        <v/>
      </c>
      <c r="G224" s="1"/>
      <c r="L224" s="39" t="str">
        <f t="shared" si="14"/>
        <v/>
      </c>
      <c r="T224" s="39" t="str">
        <f t="shared" si="15"/>
        <v/>
      </c>
    </row>
    <row r="225" spans="4:20" x14ac:dyDescent="0.25">
      <c r="D225" s="38" t="str">
        <f t="shared" si="12"/>
        <v/>
      </c>
      <c r="E225" s="38" t="str">
        <f t="shared" si="13"/>
        <v/>
      </c>
      <c r="G225" s="1"/>
      <c r="L225" s="39" t="str">
        <f t="shared" si="14"/>
        <v/>
      </c>
      <c r="T225" s="39" t="str">
        <f t="shared" si="15"/>
        <v/>
      </c>
    </row>
    <row r="226" spans="4:20" x14ac:dyDescent="0.25">
      <c r="D226" s="38" t="str">
        <f t="shared" si="12"/>
        <v/>
      </c>
      <c r="E226" s="38" t="str">
        <f t="shared" si="13"/>
        <v/>
      </c>
      <c r="G226" s="1"/>
      <c r="L226" s="39" t="str">
        <f t="shared" si="14"/>
        <v/>
      </c>
      <c r="T226" s="39" t="str">
        <f t="shared" si="15"/>
        <v/>
      </c>
    </row>
    <row r="227" spans="4:20" x14ac:dyDescent="0.25">
      <c r="D227" s="38" t="str">
        <f t="shared" si="12"/>
        <v/>
      </c>
      <c r="E227" s="38" t="str">
        <f t="shared" si="13"/>
        <v/>
      </c>
      <c r="G227" s="1"/>
      <c r="L227" s="39" t="str">
        <f t="shared" si="14"/>
        <v/>
      </c>
      <c r="T227" s="39" t="str">
        <f t="shared" si="15"/>
        <v/>
      </c>
    </row>
    <row r="228" spans="4:20" x14ac:dyDescent="0.25">
      <c r="D228" s="38" t="str">
        <f t="shared" si="12"/>
        <v/>
      </c>
      <c r="E228" s="38" t="str">
        <f t="shared" si="13"/>
        <v/>
      </c>
      <c r="G228" s="1"/>
      <c r="L228" s="39" t="str">
        <f t="shared" si="14"/>
        <v/>
      </c>
      <c r="T228" s="39" t="str">
        <f t="shared" si="15"/>
        <v/>
      </c>
    </row>
    <row r="229" spans="4:20" x14ac:dyDescent="0.25">
      <c r="D229" s="38" t="str">
        <f t="shared" si="12"/>
        <v/>
      </c>
      <c r="E229" s="38" t="str">
        <f t="shared" si="13"/>
        <v/>
      </c>
      <c r="G229" s="1"/>
      <c r="L229" s="39" t="str">
        <f t="shared" si="14"/>
        <v/>
      </c>
      <c r="T229" s="39" t="str">
        <f t="shared" si="15"/>
        <v/>
      </c>
    </row>
    <row r="230" spans="4:20" x14ac:dyDescent="0.25">
      <c r="D230" s="38" t="str">
        <f t="shared" si="12"/>
        <v/>
      </c>
      <c r="E230" s="38" t="str">
        <f t="shared" si="13"/>
        <v/>
      </c>
      <c r="G230" s="1"/>
      <c r="L230" s="39" t="str">
        <f t="shared" si="14"/>
        <v/>
      </c>
      <c r="T230" s="39" t="str">
        <f t="shared" si="15"/>
        <v/>
      </c>
    </row>
    <row r="231" spans="4:20" x14ac:dyDescent="0.25">
      <c r="D231" s="38" t="str">
        <f t="shared" si="12"/>
        <v/>
      </c>
      <c r="E231" s="38" t="str">
        <f t="shared" si="13"/>
        <v/>
      </c>
      <c r="G231" s="1"/>
      <c r="L231" s="39" t="str">
        <f t="shared" si="14"/>
        <v/>
      </c>
      <c r="T231" s="39" t="str">
        <f t="shared" si="15"/>
        <v/>
      </c>
    </row>
    <row r="232" spans="4:20" x14ac:dyDescent="0.25">
      <c r="D232" s="38" t="str">
        <f t="shared" si="12"/>
        <v/>
      </c>
      <c r="E232" s="38" t="str">
        <f t="shared" si="13"/>
        <v/>
      </c>
      <c r="G232" s="1"/>
      <c r="L232" s="39" t="str">
        <f t="shared" si="14"/>
        <v/>
      </c>
      <c r="T232" s="39" t="str">
        <f t="shared" si="15"/>
        <v/>
      </c>
    </row>
    <row r="233" spans="4:20" x14ac:dyDescent="0.25">
      <c r="D233" s="38" t="str">
        <f t="shared" si="12"/>
        <v/>
      </c>
      <c r="E233" s="38" t="str">
        <f t="shared" si="13"/>
        <v/>
      </c>
      <c r="G233" s="1"/>
      <c r="L233" s="39" t="str">
        <f t="shared" si="14"/>
        <v/>
      </c>
      <c r="T233" s="39" t="str">
        <f t="shared" si="15"/>
        <v/>
      </c>
    </row>
    <row r="234" spans="4:20" x14ac:dyDescent="0.25">
      <c r="D234" s="38" t="str">
        <f t="shared" si="12"/>
        <v/>
      </c>
      <c r="E234" s="38" t="str">
        <f t="shared" si="13"/>
        <v/>
      </c>
      <c r="G234" s="1"/>
      <c r="L234" s="39" t="str">
        <f t="shared" si="14"/>
        <v/>
      </c>
      <c r="T234" s="39" t="str">
        <f t="shared" si="15"/>
        <v/>
      </c>
    </row>
    <row r="235" spans="4:20" x14ac:dyDescent="0.25">
      <c r="D235" s="38" t="str">
        <f t="shared" si="12"/>
        <v/>
      </c>
      <c r="E235" s="38" t="str">
        <f t="shared" si="13"/>
        <v/>
      </c>
      <c r="G235" s="1"/>
      <c r="L235" s="39" t="str">
        <f t="shared" si="14"/>
        <v/>
      </c>
      <c r="T235" s="39" t="str">
        <f t="shared" si="15"/>
        <v/>
      </c>
    </row>
    <row r="236" spans="4:20" x14ac:dyDescent="0.25">
      <c r="D236" s="38" t="str">
        <f t="shared" si="12"/>
        <v/>
      </c>
      <c r="E236" s="38" t="str">
        <f t="shared" si="13"/>
        <v/>
      </c>
      <c r="G236" s="1"/>
      <c r="L236" s="39" t="str">
        <f t="shared" si="14"/>
        <v/>
      </c>
      <c r="T236" s="39" t="str">
        <f t="shared" si="15"/>
        <v/>
      </c>
    </row>
    <row r="237" spans="4:20" x14ac:dyDescent="0.25">
      <c r="D237" s="38" t="str">
        <f t="shared" si="12"/>
        <v/>
      </c>
      <c r="E237" s="38" t="str">
        <f t="shared" si="13"/>
        <v/>
      </c>
      <c r="G237" s="1"/>
      <c r="L237" s="39" t="str">
        <f t="shared" si="14"/>
        <v/>
      </c>
      <c r="T237" s="39" t="str">
        <f t="shared" si="15"/>
        <v/>
      </c>
    </row>
    <row r="238" spans="4:20" x14ac:dyDescent="0.25">
      <c r="D238" s="38" t="str">
        <f t="shared" si="12"/>
        <v/>
      </c>
      <c r="E238" s="38" t="str">
        <f t="shared" si="13"/>
        <v/>
      </c>
      <c r="G238" s="1"/>
      <c r="L238" s="39" t="str">
        <f t="shared" si="14"/>
        <v/>
      </c>
      <c r="T238" s="39" t="str">
        <f t="shared" si="15"/>
        <v/>
      </c>
    </row>
    <row r="239" spans="4:20" x14ac:dyDescent="0.25">
      <c r="D239" s="38" t="str">
        <f t="shared" si="12"/>
        <v/>
      </c>
      <c r="E239" s="38" t="str">
        <f t="shared" si="13"/>
        <v/>
      </c>
      <c r="G239" s="1"/>
      <c r="L239" s="39" t="str">
        <f t="shared" si="14"/>
        <v/>
      </c>
      <c r="T239" s="39" t="str">
        <f t="shared" si="15"/>
        <v/>
      </c>
    </row>
    <row r="240" spans="4:20" x14ac:dyDescent="0.25">
      <c r="D240" s="38" t="str">
        <f t="shared" si="12"/>
        <v/>
      </c>
      <c r="E240" s="38" t="str">
        <f t="shared" si="13"/>
        <v/>
      </c>
      <c r="G240" s="1"/>
      <c r="L240" s="39" t="str">
        <f t="shared" si="14"/>
        <v/>
      </c>
      <c r="T240" s="39" t="str">
        <f t="shared" si="15"/>
        <v/>
      </c>
    </row>
    <row r="241" spans="4:20" x14ac:dyDescent="0.25">
      <c r="D241" s="38" t="str">
        <f t="shared" si="12"/>
        <v/>
      </c>
      <c r="E241" s="38" t="str">
        <f t="shared" si="13"/>
        <v/>
      </c>
      <c r="G241" s="1"/>
      <c r="L241" s="39" t="str">
        <f t="shared" si="14"/>
        <v/>
      </c>
      <c r="T241" s="39" t="str">
        <f t="shared" si="15"/>
        <v/>
      </c>
    </row>
    <row r="242" spans="4:20" x14ac:dyDescent="0.25">
      <c r="D242" s="38" t="str">
        <f t="shared" si="12"/>
        <v/>
      </c>
      <c r="E242" s="38" t="str">
        <f t="shared" si="13"/>
        <v/>
      </c>
      <c r="G242" s="1"/>
      <c r="L242" s="39" t="str">
        <f t="shared" si="14"/>
        <v/>
      </c>
      <c r="T242" s="39" t="str">
        <f t="shared" si="15"/>
        <v/>
      </c>
    </row>
    <row r="243" spans="4:20" x14ac:dyDescent="0.25">
      <c r="D243" s="38" t="str">
        <f t="shared" si="12"/>
        <v/>
      </c>
      <c r="E243" s="38" t="str">
        <f t="shared" si="13"/>
        <v/>
      </c>
      <c r="G243" s="1"/>
      <c r="L243" s="39" t="str">
        <f t="shared" si="14"/>
        <v/>
      </c>
      <c r="T243" s="39" t="str">
        <f t="shared" si="15"/>
        <v/>
      </c>
    </row>
    <row r="244" spans="4:20" x14ac:dyDescent="0.25">
      <c r="D244" s="38" t="str">
        <f t="shared" si="12"/>
        <v/>
      </c>
      <c r="E244" s="38" t="str">
        <f t="shared" si="13"/>
        <v/>
      </c>
      <c r="G244" s="1"/>
      <c r="L244" s="39" t="str">
        <f t="shared" si="14"/>
        <v/>
      </c>
      <c r="T244" s="39" t="str">
        <f t="shared" si="15"/>
        <v/>
      </c>
    </row>
    <row r="245" spans="4:20" x14ac:dyDescent="0.25">
      <c r="D245" s="38" t="str">
        <f t="shared" si="12"/>
        <v/>
      </c>
      <c r="E245" s="38" t="str">
        <f t="shared" si="13"/>
        <v/>
      </c>
      <c r="G245" s="1"/>
      <c r="L245" s="39" t="str">
        <f t="shared" si="14"/>
        <v/>
      </c>
      <c r="T245" s="39" t="str">
        <f t="shared" si="15"/>
        <v/>
      </c>
    </row>
    <row r="246" spans="4:20" x14ac:dyDescent="0.25">
      <c r="D246" s="38" t="str">
        <f t="shared" si="12"/>
        <v/>
      </c>
      <c r="E246" s="38" t="str">
        <f t="shared" si="13"/>
        <v/>
      </c>
      <c r="G246" s="1"/>
      <c r="L246" s="39" t="str">
        <f t="shared" si="14"/>
        <v/>
      </c>
      <c r="T246" s="39" t="str">
        <f t="shared" si="15"/>
        <v/>
      </c>
    </row>
    <row r="247" spans="4:20" x14ac:dyDescent="0.25">
      <c r="D247" s="38" t="str">
        <f t="shared" si="12"/>
        <v/>
      </c>
      <c r="E247" s="38" t="str">
        <f t="shared" si="13"/>
        <v/>
      </c>
      <c r="G247" s="1"/>
      <c r="L247" s="39" t="str">
        <f t="shared" si="14"/>
        <v/>
      </c>
      <c r="T247" s="39" t="str">
        <f t="shared" si="15"/>
        <v/>
      </c>
    </row>
    <row r="248" spans="4:20" x14ac:dyDescent="0.25">
      <c r="D248" s="38" t="str">
        <f t="shared" si="12"/>
        <v/>
      </c>
      <c r="E248" s="38" t="str">
        <f t="shared" si="13"/>
        <v/>
      </c>
      <c r="G248" s="1"/>
      <c r="L248" s="39" t="str">
        <f t="shared" si="14"/>
        <v/>
      </c>
      <c r="T248" s="39" t="str">
        <f t="shared" si="15"/>
        <v/>
      </c>
    </row>
    <row r="249" spans="4:20" x14ac:dyDescent="0.25">
      <c r="D249" s="38" t="str">
        <f t="shared" si="12"/>
        <v/>
      </c>
      <c r="E249" s="38" t="str">
        <f t="shared" si="13"/>
        <v/>
      </c>
      <c r="G249" s="1"/>
      <c r="L249" s="39" t="str">
        <f t="shared" si="14"/>
        <v/>
      </c>
      <c r="T249" s="39" t="str">
        <f t="shared" si="15"/>
        <v/>
      </c>
    </row>
    <row r="250" spans="4:20" x14ac:dyDescent="0.25">
      <c r="D250" s="38" t="str">
        <f t="shared" si="12"/>
        <v/>
      </c>
      <c r="E250" s="38" t="str">
        <f t="shared" si="13"/>
        <v/>
      </c>
      <c r="G250" s="1"/>
      <c r="L250" s="39" t="str">
        <f t="shared" si="14"/>
        <v/>
      </c>
      <c r="T250" s="39" t="str">
        <f t="shared" si="15"/>
        <v/>
      </c>
    </row>
    <row r="251" spans="4:20" x14ac:dyDescent="0.25">
      <c r="D251" s="38" t="str">
        <f t="shared" si="12"/>
        <v/>
      </c>
      <c r="E251" s="38" t="str">
        <f t="shared" si="13"/>
        <v/>
      </c>
      <c r="G251" s="1"/>
      <c r="L251" s="39" t="str">
        <f t="shared" si="14"/>
        <v/>
      </c>
      <c r="T251" s="39" t="str">
        <f t="shared" si="15"/>
        <v/>
      </c>
    </row>
    <row r="252" spans="4:20" x14ac:dyDescent="0.25">
      <c r="D252" s="38" t="str">
        <f t="shared" si="12"/>
        <v/>
      </c>
      <c r="E252" s="38" t="str">
        <f t="shared" si="13"/>
        <v/>
      </c>
      <c r="G252" s="1"/>
      <c r="L252" s="39" t="str">
        <f t="shared" si="14"/>
        <v/>
      </c>
      <c r="T252" s="39" t="str">
        <f t="shared" si="15"/>
        <v/>
      </c>
    </row>
    <row r="253" spans="4:20" x14ac:dyDescent="0.25">
      <c r="D253" s="38" t="str">
        <f t="shared" si="12"/>
        <v/>
      </c>
      <c r="E253" s="38" t="str">
        <f t="shared" si="13"/>
        <v/>
      </c>
      <c r="G253" s="1"/>
      <c r="L253" s="39" t="str">
        <f t="shared" si="14"/>
        <v/>
      </c>
      <c r="T253" s="39" t="str">
        <f t="shared" si="15"/>
        <v/>
      </c>
    </row>
    <row r="254" spans="4:20" x14ac:dyDescent="0.25">
      <c r="D254" s="38" t="str">
        <f t="shared" si="12"/>
        <v/>
      </c>
      <c r="E254" s="38" t="str">
        <f t="shared" si="13"/>
        <v/>
      </c>
      <c r="G254" s="1"/>
      <c r="L254" s="39" t="str">
        <f t="shared" si="14"/>
        <v/>
      </c>
      <c r="T254" s="39" t="str">
        <f t="shared" si="15"/>
        <v/>
      </c>
    </row>
    <row r="255" spans="4:20" x14ac:dyDescent="0.25">
      <c r="D255" s="38" t="str">
        <f t="shared" si="12"/>
        <v/>
      </c>
      <c r="E255" s="38" t="str">
        <f t="shared" si="13"/>
        <v/>
      </c>
      <c r="G255" s="1"/>
      <c r="L255" s="39" t="str">
        <f t="shared" si="14"/>
        <v/>
      </c>
      <c r="T255" s="39" t="str">
        <f t="shared" si="15"/>
        <v/>
      </c>
    </row>
    <row r="256" spans="4:20" x14ac:dyDescent="0.25">
      <c r="D256" s="38" t="str">
        <f t="shared" si="12"/>
        <v/>
      </c>
      <c r="E256" s="38" t="str">
        <f t="shared" si="13"/>
        <v/>
      </c>
      <c r="G256" s="1"/>
      <c r="L256" s="39" t="str">
        <f t="shared" si="14"/>
        <v/>
      </c>
      <c r="T256" s="39" t="str">
        <f t="shared" si="15"/>
        <v/>
      </c>
    </row>
    <row r="257" spans="4:20" x14ac:dyDescent="0.25">
      <c r="D257" s="38" t="str">
        <f t="shared" si="12"/>
        <v/>
      </c>
      <c r="E257" s="38" t="str">
        <f t="shared" si="13"/>
        <v/>
      </c>
      <c r="G257" s="1"/>
      <c r="L257" s="39" t="str">
        <f t="shared" si="14"/>
        <v/>
      </c>
      <c r="T257" s="39" t="str">
        <f t="shared" si="15"/>
        <v/>
      </c>
    </row>
    <row r="258" spans="4:20" x14ac:dyDescent="0.25">
      <c r="D258" s="38" t="str">
        <f t="shared" ref="D258:D321" si="16">IF($B258="", "", CHOOSE(MONTH($B258), "Gennaio","Febbraio","Marzo","Aprile","Maggio","Giugno","Luglio","Agosto","Settembre","Ottobre","Novembre","Dicembre"))</f>
        <v/>
      </c>
      <c r="E258" s="38" t="str">
        <f t="shared" ref="E258:E321" si="17">IF($B258="", "", CHOOSE(WEEKDAY($B258,2), "Lunedì","Martedì","Mercoledì","Giovedì","Venerdì","Sabato","Domenica"))</f>
        <v/>
      </c>
      <c r="G258" s="1"/>
      <c r="L258" s="39" t="str">
        <f t="shared" ref="L258:L321" si="18">IF($K258="Target", $G258*$H258, IF($K258="Stop Loss", -$G258, IF($K258="Breakeven", 0, "")))</f>
        <v/>
      </c>
      <c r="T258" s="39" t="str">
        <f t="shared" si="15"/>
        <v/>
      </c>
    </row>
    <row r="259" spans="4:20" x14ac:dyDescent="0.25">
      <c r="D259" s="38" t="str">
        <f t="shared" si="16"/>
        <v/>
      </c>
      <c r="E259" s="38" t="str">
        <f t="shared" si="17"/>
        <v/>
      </c>
      <c r="G259" s="1"/>
      <c r="L259" s="39" t="str">
        <f t="shared" si="18"/>
        <v/>
      </c>
      <c r="T259" s="39" t="str">
        <f t="shared" ref="T259:T322" si="19">IF($L259="", "", $T258 + $L259)</f>
        <v/>
      </c>
    </row>
    <row r="260" spans="4:20" x14ac:dyDescent="0.25">
      <c r="D260" s="38" t="str">
        <f t="shared" si="16"/>
        <v/>
      </c>
      <c r="E260" s="38" t="str">
        <f t="shared" si="17"/>
        <v/>
      </c>
      <c r="G260" s="1"/>
      <c r="L260" s="39" t="str">
        <f t="shared" si="18"/>
        <v/>
      </c>
      <c r="T260" s="39" t="str">
        <f t="shared" si="19"/>
        <v/>
      </c>
    </row>
    <row r="261" spans="4:20" x14ac:dyDescent="0.25">
      <c r="D261" s="38" t="str">
        <f t="shared" si="16"/>
        <v/>
      </c>
      <c r="E261" s="38" t="str">
        <f t="shared" si="17"/>
        <v/>
      </c>
      <c r="G261" s="1"/>
      <c r="L261" s="39" t="str">
        <f t="shared" si="18"/>
        <v/>
      </c>
      <c r="T261" s="39" t="str">
        <f t="shared" si="19"/>
        <v/>
      </c>
    </row>
    <row r="262" spans="4:20" x14ac:dyDescent="0.25">
      <c r="D262" s="38" t="str">
        <f t="shared" si="16"/>
        <v/>
      </c>
      <c r="E262" s="38" t="str">
        <f t="shared" si="17"/>
        <v/>
      </c>
      <c r="G262" s="1"/>
      <c r="L262" s="39" t="str">
        <f t="shared" si="18"/>
        <v/>
      </c>
      <c r="T262" s="39" t="str">
        <f t="shared" si="19"/>
        <v/>
      </c>
    </row>
    <row r="263" spans="4:20" x14ac:dyDescent="0.25">
      <c r="D263" s="38" t="str">
        <f t="shared" si="16"/>
        <v/>
      </c>
      <c r="E263" s="38" t="str">
        <f t="shared" si="17"/>
        <v/>
      </c>
      <c r="G263" s="1"/>
      <c r="L263" s="39" t="str">
        <f t="shared" si="18"/>
        <v/>
      </c>
      <c r="T263" s="39" t="str">
        <f t="shared" si="19"/>
        <v/>
      </c>
    </row>
    <row r="264" spans="4:20" x14ac:dyDescent="0.25">
      <c r="D264" s="38" t="str">
        <f t="shared" si="16"/>
        <v/>
      </c>
      <c r="E264" s="38" t="str">
        <f t="shared" si="17"/>
        <v/>
      </c>
      <c r="G264" s="1"/>
      <c r="L264" s="39" t="str">
        <f t="shared" si="18"/>
        <v/>
      </c>
      <c r="T264" s="39" t="str">
        <f t="shared" si="19"/>
        <v/>
      </c>
    </row>
    <row r="265" spans="4:20" x14ac:dyDescent="0.25">
      <c r="D265" s="38" t="str">
        <f t="shared" si="16"/>
        <v/>
      </c>
      <c r="E265" s="38" t="str">
        <f t="shared" si="17"/>
        <v/>
      </c>
      <c r="G265" s="1"/>
      <c r="L265" s="39" t="str">
        <f t="shared" si="18"/>
        <v/>
      </c>
      <c r="T265" s="39" t="str">
        <f t="shared" si="19"/>
        <v/>
      </c>
    </row>
    <row r="266" spans="4:20" x14ac:dyDescent="0.25">
      <c r="D266" s="38" t="str">
        <f t="shared" si="16"/>
        <v/>
      </c>
      <c r="E266" s="38" t="str">
        <f t="shared" si="17"/>
        <v/>
      </c>
      <c r="G266" s="1"/>
      <c r="L266" s="39" t="str">
        <f t="shared" si="18"/>
        <v/>
      </c>
      <c r="T266" s="39" t="str">
        <f t="shared" si="19"/>
        <v/>
      </c>
    </row>
    <row r="267" spans="4:20" x14ac:dyDescent="0.25">
      <c r="D267" s="38" t="str">
        <f t="shared" si="16"/>
        <v/>
      </c>
      <c r="E267" s="38" t="str">
        <f t="shared" si="17"/>
        <v/>
      </c>
      <c r="G267" s="1"/>
      <c r="L267" s="39" t="str">
        <f t="shared" si="18"/>
        <v/>
      </c>
      <c r="T267" s="39" t="str">
        <f t="shared" si="19"/>
        <v/>
      </c>
    </row>
    <row r="268" spans="4:20" x14ac:dyDescent="0.25">
      <c r="D268" s="38" t="str">
        <f t="shared" si="16"/>
        <v/>
      </c>
      <c r="E268" s="38" t="str">
        <f t="shared" si="17"/>
        <v/>
      </c>
      <c r="G268" s="1"/>
      <c r="L268" s="39" t="str">
        <f t="shared" si="18"/>
        <v/>
      </c>
      <c r="T268" s="39" t="str">
        <f t="shared" si="19"/>
        <v/>
      </c>
    </row>
    <row r="269" spans="4:20" x14ac:dyDescent="0.25">
      <c r="D269" s="38" t="str">
        <f t="shared" si="16"/>
        <v/>
      </c>
      <c r="E269" s="38" t="str">
        <f t="shared" si="17"/>
        <v/>
      </c>
      <c r="G269" s="1"/>
      <c r="L269" s="39" t="str">
        <f t="shared" si="18"/>
        <v/>
      </c>
      <c r="T269" s="39" t="str">
        <f t="shared" si="19"/>
        <v/>
      </c>
    </row>
    <row r="270" spans="4:20" x14ac:dyDescent="0.25">
      <c r="D270" s="38" t="str">
        <f t="shared" si="16"/>
        <v/>
      </c>
      <c r="E270" s="38" t="str">
        <f t="shared" si="17"/>
        <v/>
      </c>
      <c r="G270" s="1"/>
      <c r="L270" s="39" t="str">
        <f t="shared" si="18"/>
        <v/>
      </c>
      <c r="T270" s="39" t="str">
        <f t="shared" si="19"/>
        <v/>
      </c>
    </row>
    <row r="271" spans="4:20" x14ac:dyDescent="0.25">
      <c r="D271" s="38" t="str">
        <f t="shared" si="16"/>
        <v/>
      </c>
      <c r="E271" s="38" t="str">
        <f t="shared" si="17"/>
        <v/>
      </c>
      <c r="G271" s="1"/>
      <c r="L271" s="39" t="str">
        <f t="shared" si="18"/>
        <v/>
      </c>
      <c r="T271" s="39" t="str">
        <f t="shared" si="19"/>
        <v/>
      </c>
    </row>
    <row r="272" spans="4:20" x14ac:dyDescent="0.25">
      <c r="D272" s="38" t="str">
        <f t="shared" si="16"/>
        <v/>
      </c>
      <c r="E272" s="38" t="str">
        <f t="shared" si="17"/>
        <v/>
      </c>
      <c r="G272" s="1"/>
      <c r="L272" s="39" t="str">
        <f t="shared" si="18"/>
        <v/>
      </c>
      <c r="T272" s="39" t="str">
        <f t="shared" si="19"/>
        <v/>
      </c>
    </row>
    <row r="273" spans="4:20" x14ac:dyDescent="0.25">
      <c r="D273" s="38" t="str">
        <f t="shared" si="16"/>
        <v/>
      </c>
      <c r="E273" s="38" t="str">
        <f t="shared" si="17"/>
        <v/>
      </c>
      <c r="G273" s="1"/>
      <c r="L273" s="39" t="str">
        <f t="shared" si="18"/>
        <v/>
      </c>
      <c r="T273" s="39" t="str">
        <f t="shared" si="19"/>
        <v/>
      </c>
    </row>
    <row r="274" spans="4:20" x14ac:dyDescent="0.25">
      <c r="D274" s="38" t="str">
        <f t="shared" si="16"/>
        <v/>
      </c>
      <c r="E274" s="38" t="str">
        <f t="shared" si="17"/>
        <v/>
      </c>
      <c r="G274" s="1"/>
      <c r="L274" s="39" t="str">
        <f t="shared" si="18"/>
        <v/>
      </c>
      <c r="T274" s="39" t="str">
        <f t="shared" si="19"/>
        <v/>
      </c>
    </row>
    <row r="275" spans="4:20" x14ac:dyDescent="0.25">
      <c r="D275" s="38" t="str">
        <f t="shared" si="16"/>
        <v/>
      </c>
      <c r="E275" s="38" t="str">
        <f t="shared" si="17"/>
        <v/>
      </c>
      <c r="G275" s="1"/>
      <c r="L275" s="39" t="str">
        <f t="shared" si="18"/>
        <v/>
      </c>
      <c r="T275" s="39" t="str">
        <f t="shared" si="19"/>
        <v/>
      </c>
    </row>
    <row r="276" spans="4:20" x14ac:dyDescent="0.25">
      <c r="D276" s="38" t="str">
        <f t="shared" si="16"/>
        <v/>
      </c>
      <c r="E276" s="38" t="str">
        <f t="shared" si="17"/>
        <v/>
      </c>
      <c r="G276" s="1"/>
      <c r="L276" s="39" t="str">
        <f t="shared" si="18"/>
        <v/>
      </c>
      <c r="T276" s="39" t="str">
        <f t="shared" si="19"/>
        <v/>
      </c>
    </row>
    <row r="277" spans="4:20" x14ac:dyDescent="0.25">
      <c r="D277" s="38" t="str">
        <f t="shared" si="16"/>
        <v/>
      </c>
      <c r="E277" s="38" t="str">
        <f t="shared" si="17"/>
        <v/>
      </c>
      <c r="G277" s="1"/>
      <c r="L277" s="39" t="str">
        <f t="shared" si="18"/>
        <v/>
      </c>
      <c r="T277" s="39" t="str">
        <f t="shared" si="19"/>
        <v/>
      </c>
    </row>
    <row r="278" spans="4:20" x14ac:dyDescent="0.25">
      <c r="D278" s="38" t="str">
        <f t="shared" si="16"/>
        <v/>
      </c>
      <c r="E278" s="38" t="str">
        <f t="shared" si="17"/>
        <v/>
      </c>
      <c r="G278" s="1"/>
      <c r="L278" s="39" t="str">
        <f t="shared" si="18"/>
        <v/>
      </c>
      <c r="T278" s="39" t="str">
        <f t="shared" si="19"/>
        <v/>
      </c>
    </row>
    <row r="279" spans="4:20" x14ac:dyDescent="0.25">
      <c r="D279" s="38" t="str">
        <f t="shared" si="16"/>
        <v/>
      </c>
      <c r="E279" s="38" t="str">
        <f t="shared" si="17"/>
        <v/>
      </c>
      <c r="G279" s="1"/>
      <c r="L279" s="39" t="str">
        <f t="shared" si="18"/>
        <v/>
      </c>
      <c r="T279" s="39" t="str">
        <f t="shared" si="19"/>
        <v/>
      </c>
    </row>
    <row r="280" spans="4:20" x14ac:dyDescent="0.25">
      <c r="D280" s="38" t="str">
        <f t="shared" si="16"/>
        <v/>
      </c>
      <c r="E280" s="38" t="str">
        <f t="shared" si="17"/>
        <v/>
      </c>
      <c r="G280" s="1"/>
      <c r="L280" s="39" t="str">
        <f t="shared" si="18"/>
        <v/>
      </c>
      <c r="T280" s="39" t="str">
        <f t="shared" si="19"/>
        <v/>
      </c>
    </row>
    <row r="281" spans="4:20" x14ac:dyDescent="0.25">
      <c r="D281" s="38" t="str">
        <f t="shared" si="16"/>
        <v/>
      </c>
      <c r="E281" s="38" t="str">
        <f t="shared" si="17"/>
        <v/>
      </c>
      <c r="G281" s="1"/>
      <c r="L281" s="39" t="str">
        <f t="shared" si="18"/>
        <v/>
      </c>
      <c r="T281" s="39" t="str">
        <f t="shared" si="19"/>
        <v/>
      </c>
    </row>
    <row r="282" spans="4:20" x14ac:dyDescent="0.25">
      <c r="D282" s="38" t="str">
        <f t="shared" si="16"/>
        <v/>
      </c>
      <c r="E282" s="38" t="str">
        <f t="shared" si="17"/>
        <v/>
      </c>
      <c r="G282" s="1"/>
      <c r="L282" s="39" t="str">
        <f t="shared" si="18"/>
        <v/>
      </c>
      <c r="T282" s="39" t="str">
        <f t="shared" si="19"/>
        <v/>
      </c>
    </row>
    <row r="283" spans="4:20" x14ac:dyDescent="0.25">
      <c r="D283" s="38" t="str">
        <f t="shared" si="16"/>
        <v/>
      </c>
      <c r="E283" s="38" t="str">
        <f t="shared" si="17"/>
        <v/>
      </c>
      <c r="G283" s="1"/>
      <c r="L283" s="39" t="str">
        <f t="shared" si="18"/>
        <v/>
      </c>
      <c r="T283" s="39" t="str">
        <f t="shared" si="19"/>
        <v/>
      </c>
    </row>
    <row r="284" spans="4:20" x14ac:dyDescent="0.25">
      <c r="D284" s="38" t="str">
        <f t="shared" si="16"/>
        <v/>
      </c>
      <c r="E284" s="38" t="str">
        <f t="shared" si="17"/>
        <v/>
      </c>
      <c r="G284" s="1"/>
      <c r="L284" s="39" t="str">
        <f t="shared" si="18"/>
        <v/>
      </c>
      <c r="T284" s="39" t="str">
        <f t="shared" si="19"/>
        <v/>
      </c>
    </row>
    <row r="285" spans="4:20" x14ac:dyDescent="0.25">
      <c r="D285" s="38" t="str">
        <f t="shared" si="16"/>
        <v/>
      </c>
      <c r="E285" s="38" t="str">
        <f t="shared" si="17"/>
        <v/>
      </c>
      <c r="G285" s="1"/>
      <c r="L285" s="39" t="str">
        <f t="shared" si="18"/>
        <v/>
      </c>
      <c r="T285" s="39" t="str">
        <f t="shared" si="19"/>
        <v/>
      </c>
    </row>
    <row r="286" spans="4:20" x14ac:dyDescent="0.25">
      <c r="D286" s="38" t="str">
        <f t="shared" si="16"/>
        <v/>
      </c>
      <c r="E286" s="38" t="str">
        <f t="shared" si="17"/>
        <v/>
      </c>
      <c r="G286" s="1"/>
      <c r="L286" s="39" t="str">
        <f t="shared" si="18"/>
        <v/>
      </c>
      <c r="T286" s="39" t="str">
        <f t="shared" si="19"/>
        <v/>
      </c>
    </row>
    <row r="287" spans="4:20" x14ac:dyDescent="0.25">
      <c r="D287" s="38" t="str">
        <f t="shared" si="16"/>
        <v/>
      </c>
      <c r="E287" s="38" t="str">
        <f t="shared" si="17"/>
        <v/>
      </c>
      <c r="G287" s="1"/>
      <c r="L287" s="39" t="str">
        <f t="shared" si="18"/>
        <v/>
      </c>
      <c r="T287" s="39" t="str">
        <f t="shared" si="19"/>
        <v/>
      </c>
    </row>
    <row r="288" spans="4:20" x14ac:dyDescent="0.25">
      <c r="D288" s="38" t="str">
        <f t="shared" si="16"/>
        <v/>
      </c>
      <c r="E288" s="38" t="str">
        <f t="shared" si="17"/>
        <v/>
      </c>
      <c r="G288" s="1"/>
      <c r="L288" s="39" t="str">
        <f t="shared" si="18"/>
        <v/>
      </c>
      <c r="T288" s="39" t="str">
        <f t="shared" si="19"/>
        <v/>
      </c>
    </row>
    <row r="289" spans="4:20" x14ac:dyDescent="0.25">
      <c r="D289" s="38" t="str">
        <f t="shared" si="16"/>
        <v/>
      </c>
      <c r="E289" s="38" t="str">
        <f t="shared" si="17"/>
        <v/>
      </c>
      <c r="G289" s="1"/>
      <c r="L289" s="39" t="str">
        <f t="shared" si="18"/>
        <v/>
      </c>
      <c r="T289" s="39" t="str">
        <f t="shared" si="19"/>
        <v/>
      </c>
    </row>
    <row r="290" spans="4:20" x14ac:dyDescent="0.25">
      <c r="D290" s="38" t="str">
        <f t="shared" si="16"/>
        <v/>
      </c>
      <c r="E290" s="38" t="str">
        <f t="shared" si="17"/>
        <v/>
      </c>
      <c r="G290" s="1"/>
      <c r="L290" s="39" t="str">
        <f t="shared" si="18"/>
        <v/>
      </c>
      <c r="T290" s="39" t="str">
        <f t="shared" si="19"/>
        <v/>
      </c>
    </row>
    <row r="291" spans="4:20" x14ac:dyDescent="0.25">
      <c r="D291" s="38" t="str">
        <f t="shared" si="16"/>
        <v/>
      </c>
      <c r="E291" s="38" t="str">
        <f t="shared" si="17"/>
        <v/>
      </c>
      <c r="G291" s="1"/>
      <c r="L291" s="39" t="str">
        <f t="shared" si="18"/>
        <v/>
      </c>
      <c r="T291" s="39" t="str">
        <f t="shared" si="19"/>
        <v/>
      </c>
    </row>
    <row r="292" spans="4:20" x14ac:dyDescent="0.25">
      <c r="D292" s="38" t="str">
        <f t="shared" si="16"/>
        <v/>
      </c>
      <c r="E292" s="38" t="str">
        <f t="shared" si="17"/>
        <v/>
      </c>
      <c r="G292" s="1"/>
      <c r="L292" s="39" t="str">
        <f t="shared" si="18"/>
        <v/>
      </c>
      <c r="T292" s="39" t="str">
        <f t="shared" si="19"/>
        <v/>
      </c>
    </row>
    <row r="293" spans="4:20" x14ac:dyDescent="0.25">
      <c r="D293" s="38" t="str">
        <f t="shared" si="16"/>
        <v/>
      </c>
      <c r="E293" s="38" t="str">
        <f t="shared" si="17"/>
        <v/>
      </c>
      <c r="G293" s="1"/>
      <c r="L293" s="39" t="str">
        <f t="shared" si="18"/>
        <v/>
      </c>
      <c r="T293" s="39" t="str">
        <f t="shared" si="19"/>
        <v/>
      </c>
    </row>
    <row r="294" spans="4:20" x14ac:dyDescent="0.25">
      <c r="D294" s="38" t="str">
        <f t="shared" si="16"/>
        <v/>
      </c>
      <c r="E294" s="38" t="str">
        <f t="shared" si="17"/>
        <v/>
      </c>
      <c r="G294" s="1"/>
      <c r="L294" s="39" t="str">
        <f t="shared" si="18"/>
        <v/>
      </c>
      <c r="T294" s="39" t="str">
        <f t="shared" si="19"/>
        <v/>
      </c>
    </row>
    <row r="295" spans="4:20" x14ac:dyDescent="0.25">
      <c r="D295" s="38" t="str">
        <f t="shared" si="16"/>
        <v/>
      </c>
      <c r="E295" s="38" t="str">
        <f t="shared" si="17"/>
        <v/>
      </c>
      <c r="G295" s="1"/>
      <c r="L295" s="39" t="str">
        <f t="shared" si="18"/>
        <v/>
      </c>
      <c r="T295" s="39" t="str">
        <f t="shared" si="19"/>
        <v/>
      </c>
    </row>
    <row r="296" spans="4:20" x14ac:dyDescent="0.25">
      <c r="D296" s="38" t="str">
        <f t="shared" si="16"/>
        <v/>
      </c>
      <c r="E296" s="38" t="str">
        <f t="shared" si="17"/>
        <v/>
      </c>
      <c r="G296" s="1"/>
      <c r="L296" s="39" t="str">
        <f t="shared" si="18"/>
        <v/>
      </c>
      <c r="T296" s="39" t="str">
        <f t="shared" si="19"/>
        <v/>
      </c>
    </row>
    <row r="297" spans="4:20" x14ac:dyDescent="0.25">
      <c r="D297" s="38" t="str">
        <f t="shared" si="16"/>
        <v/>
      </c>
      <c r="E297" s="38" t="str">
        <f t="shared" si="17"/>
        <v/>
      </c>
      <c r="G297" s="1"/>
      <c r="L297" s="39" t="str">
        <f t="shared" si="18"/>
        <v/>
      </c>
      <c r="T297" s="39" t="str">
        <f t="shared" si="19"/>
        <v/>
      </c>
    </row>
    <row r="298" spans="4:20" x14ac:dyDescent="0.25">
      <c r="D298" s="38" t="str">
        <f t="shared" si="16"/>
        <v/>
      </c>
      <c r="E298" s="38" t="str">
        <f t="shared" si="17"/>
        <v/>
      </c>
      <c r="G298" s="1"/>
      <c r="L298" s="39" t="str">
        <f t="shared" si="18"/>
        <v/>
      </c>
      <c r="T298" s="39" t="str">
        <f t="shared" si="19"/>
        <v/>
      </c>
    </row>
    <row r="299" spans="4:20" x14ac:dyDescent="0.25">
      <c r="D299" s="38" t="str">
        <f t="shared" si="16"/>
        <v/>
      </c>
      <c r="E299" s="38" t="str">
        <f t="shared" si="17"/>
        <v/>
      </c>
      <c r="G299" s="1"/>
      <c r="L299" s="39" t="str">
        <f t="shared" si="18"/>
        <v/>
      </c>
      <c r="T299" s="39" t="str">
        <f t="shared" si="19"/>
        <v/>
      </c>
    </row>
    <row r="300" spans="4:20" x14ac:dyDescent="0.25">
      <c r="D300" s="38" t="str">
        <f t="shared" si="16"/>
        <v/>
      </c>
      <c r="E300" s="38" t="str">
        <f t="shared" si="17"/>
        <v/>
      </c>
      <c r="G300" s="1"/>
      <c r="L300" s="39" t="str">
        <f t="shared" si="18"/>
        <v/>
      </c>
      <c r="T300" s="39" t="str">
        <f t="shared" si="19"/>
        <v/>
      </c>
    </row>
    <row r="301" spans="4:20" x14ac:dyDescent="0.25">
      <c r="D301" s="38" t="str">
        <f t="shared" si="16"/>
        <v/>
      </c>
      <c r="E301" s="38" t="str">
        <f t="shared" si="17"/>
        <v/>
      </c>
      <c r="G301" s="1"/>
      <c r="L301" s="39" t="str">
        <f t="shared" si="18"/>
        <v/>
      </c>
      <c r="T301" s="39" t="str">
        <f t="shared" si="19"/>
        <v/>
      </c>
    </row>
    <row r="302" spans="4:20" x14ac:dyDescent="0.25">
      <c r="D302" s="38" t="str">
        <f t="shared" si="16"/>
        <v/>
      </c>
      <c r="E302" s="38" t="str">
        <f t="shared" si="17"/>
        <v/>
      </c>
      <c r="G302" s="1"/>
      <c r="L302" s="39" t="str">
        <f t="shared" si="18"/>
        <v/>
      </c>
      <c r="T302" s="39" t="str">
        <f t="shared" si="19"/>
        <v/>
      </c>
    </row>
    <row r="303" spans="4:20" x14ac:dyDescent="0.25">
      <c r="D303" s="38" t="str">
        <f t="shared" si="16"/>
        <v/>
      </c>
      <c r="E303" s="38" t="str">
        <f t="shared" si="17"/>
        <v/>
      </c>
      <c r="G303" s="1"/>
      <c r="L303" s="39" t="str">
        <f t="shared" si="18"/>
        <v/>
      </c>
      <c r="T303" s="39" t="str">
        <f t="shared" si="19"/>
        <v/>
      </c>
    </row>
    <row r="304" spans="4:20" x14ac:dyDescent="0.25">
      <c r="D304" s="38" t="str">
        <f t="shared" si="16"/>
        <v/>
      </c>
      <c r="E304" s="38" t="str">
        <f t="shared" si="17"/>
        <v/>
      </c>
      <c r="G304" s="1"/>
      <c r="L304" s="39" t="str">
        <f t="shared" si="18"/>
        <v/>
      </c>
      <c r="T304" s="39" t="str">
        <f t="shared" si="19"/>
        <v/>
      </c>
    </row>
    <row r="305" spans="4:20" x14ac:dyDescent="0.25">
      <c r="D305" s="38" t="str">
        <f t="shared" si="16"/>
        <v/>
      </c>
      <c r="E305" s="38" t="str">
        <f t="shared" si="17"/>
        <v/>
      </c>
      <c r="G305" s="1"/>
      <c r="L305" s="39" t="str">
        <f t="shared" si="18"/>
        <v/>
      </c>
      <c r="T305" s="39" t="str">
        <f t="shared" si="19"/>
        <v/>
      </c>
    </row>
    <row r="306" spans="4:20" x14ac:dyDescent="0.25">
      <c r="D306" s="38" t="str">
        <f t="shared" si="16"/>
        <v/>
      </c>
      <c r="E306" s="38" t="str">
        <f t="shared" si="17"/>
        <v/>
      </c>
      <c r="G306" s="1"/>
      <c r="L306" s="39" t="str">
        <f t="shared" si="18"/>
        <v/>
      </c>
      <c r="T306" s="39" t="str">
        <f t="shared" si="19"/>
        <v/>
      </c>
    </row>
    <row r="307" spans="4:20" x14ac:dyDescent="0.25">
      <c r="D307" s="38" t="str">
        <f t="shared" si="16"/>
        <v/>
      </c>
      <c r="E307" s="38" t="str">
        <f t="shared" si="17"/>
        <v/>
      </c>
      <c r="G307" s="1"/>
      <c r="L307" s="39" t="str">
        <f t="shared" si="18"/>
        <v/>
      </c>
      <c r="T307" s="39" t="str">
        <f t="shared" si="19"/>
        <v/>
      </c>
    </row>
    <row r="308" spans="4:20" x14ac:dyDescent="0.25">
      <c r="D308" s="38" t="str">
        <f t="shared" si="16"/>
        <v/>
      </c>
      <c r="E308" s="38" t="str">
        <f t="shared" si="17"/>
        <v/>
      </c>
      <c r="G308" s="1"/>
      <c r="L308" s="39" t="str">
        <f t="shared" si="18"/>
        <v/>
      </c>
      <c r="T308" s="39" t="str">
        <f t="shared" si="19"/>
        <v/>
      </c>
    </row>
    <row r="309" spans="4:20" x14ac:dyDescent="0.25">
      <c r="D309" s="38" t="str">
        <f t="shared" si="16"/>
        <v/>
      </c>
      <c r="E309" s="38" t="str">
        <f t="shared" si="17"/>
        <v/>
      </c>
      <c r="G309" s="1"/>
      <c r="L309" s="39" t="str">
        <f t="shared" si="18"/>
        <v/>
      </c>
      <c r="T309" s="39" t="str">
        <f t="shared" si="19"/>
        <v/>
      </c>
    </row>
    <row r="310" spans="4:20" x14ac:dyDescent="0.25">
      <c r="D310" s="38" t="str">
        <f t="shared" si="16"/>
        <v/>
      </c>
      <c r="E310" s="38" t="str">
        <f t="shared" si="17"/>
        <v/>
      </c>
      <c r="G310" s="1"/>
      <c r="L310" s="39" t="str">
        <f t="shared" si="18"/>
        <v/>
      </c>
      <c r="T310" s="39" t="str">
        <f t="shared" si="19"/>
        <v/>
      </c>
    </row>
    <row r="311" spans="4:20" x14ac:dyDescent="0.25">
      <c r="D311" s="38" t="str">
        <f t="shared" si="16"/>
        <v/>
      </c>
      <c r="E311" s="38" t="str">
        <f t="shared" si="17"/>
        <v/>
      </c>
      <c r="G311" s="1"/>
      <c r="L311" s="39" t="str">
        <f t="shared" si="18"/>
        <v/>
      </c>
      <c r="T311" s="39" t="str">
        <f t="shared" si="19"/>
        <v/>
      </c>
    </row>
    <row r="312" spans="4:20" x14ac:dyDescent="0.25">
      <c r="D312" s="38" t="str">
        <f t="shared" si="16"/>
        <v/>
      </c>
      <c r="E312" s="38" t="str">
        <f t="shared" si="17"/>
        <v/>
      </c>
      <c r="G312" s="1"/>
      <c r="L312" s="39" t="str">
        <f t="shared" si="18"/>
        <v/>
      </c>
      <c r="T312" s="39" t="str">
        <f t="shared" si="19"/>
        <v/>
      </c>
    </row>
    <row r="313" spans="4:20" x14ac:dyDescent="0.25">
      <c r="D313" s="38" t="str">
        <f t="shared" si="16"/>
        <v/>
      </c>
      <c r="E313" s="38" t="str">
        <f t="shared" si="17"/>
        <v/>
      </c>
      <c r="G313" s="1"/>
      <c r="L313" s="39" t="str">
        <f t="shared" si="18"/>
        <v/>
      </c>
      <c r="T313" s="39" t="str">
        <f t="shared" si="19"/>
        <v/>
      </c>
    </row>
    <row r="314" spans="4:20" x14ac:dyDescent="0.25">
      <c r="D314" s="38" t="str">
        <f t="shared" si="16"/>
        <v/>
      </c>
      <c r="E314" s="38" t="str">
        <f t="shared" si="17"/>
        <v/>
      </c>
      <c r="G314" s="1"/>
      <c r="L314" s="39" t="str">
        <f t="shared" si="18"/>
        <v/>
      </c>
      <c r="T314" s="39" t="str">
        <f t="shared" si="19"/>
        <v/>
      </c>
    </row>
    <row r="315" spans="4:20" x14ac:dyDescent="0.25">
      <c r="D315" s="38" t="str">
        <f t="shared" si="16"/>
        <v/>
      </c>
      <c r="E315" s="38" t="str">
        <f t="shared" si="17"/>
        <v/>
      </c>
      <c r="G315" s="1"/>
      <c r="L315" s="39" t="str">
        <f t="shared" si="18"/>
        <v/>
      </c>
      <c r="T315" s="39" t="str">
        <f t="shared" si="19"/>
        <v/>
      </c>
    </row>
    <row r="316" spans="4:20" x14ac:dyDescent="0.25">
      <c r="D316" s="38" t="str">
        <f t="shared" si="16"/>
        <v/>
      </c>
      <c r="E316" s="38" t="str">
        <f t="shared" si="17"/>
        <v/>
      </c>
      <c r="G316" s="1"/>
      <c r="L316" s="39" t="str">
        <f t="shared" si="18"/>
        <v/>
      </c>
      <c r="T316" s="39" t="str">
        <f t="shared" si="19"/>
        <v/>
      </c>
    </row>
    <row r="317" spans="4:20" x14ac:dyDescent="0.25">
      <c r="D317" s="38" t="str">
        <f t="shared" si="16"/>
        <v/>
      </c>
      <c r="E317" s="38" t="str">
        <f t="shared" si="17"/>
        <v/>
      </c>
      <c r="G317" s="1"/>
      <c r="L317" s="39" t="str">
        <f t="shared" si="18"/>
        <v/>
      </c>
      <c r="T317" s="39" t="str">
        <f t="shared" si="19"/>
        <v/>
      </c>
    </row>
    <row r="318" spans="4:20" x14ac:dyDescent="0.25">
      <c r="D318" s="38" t="str">
        <f t="shared" si="16"/>
        <v/>
      </c>
      <c r="E318" s="38" t="str">
        <f t="shared" si="17"/>
        <v/>
      </c>
      <c r="G318" s="1"/>
      <c r="L318" s="39" t="str">
        <f t="shared" si="18"/>
        <v/>
      </c>
      <c r="T318" s="39" t="str">
        <f t="shared" si="19"/>
        <v/>
      </c>
    </row>
    <row r="319" spans="4:20" x14ac:dyDescent="0.25">
      <c r="D319" s="38" t="str">
        <f t="shared" si="16"/>
        <v/>
      </c>
      <c r="E319" s="38" t="str">
        <f t="shared" si="17"/>
        <v/>
      </c>
      <c r="G319" s="1"/>
      <c r="L319" s="39" t="str">
        <f t="shared" si="18"/>
        <v/>
      </c>
      <c r="T319" s="39" t="str">
        <f t="shared" si="19"/>
        <v/>
      </c>
    </row>
    <row r="320" spans="4:20" x14ac:dyDescent="0.25">
      <c r="D320" s="38" t="str">
        <f t="shared" si="16"/>
        <v/>
      </c>
      <c r="E320" s="38" t="str">
        <f t="shared" si="17"/>
        <v/>
      </c>
      <c r="G320" s="1"/>
      <c r="L320" s="39" t="str">
        <f t="shared" si="18"/>
        <v/>
      </c>
      <c r="T320" s="39" t="str">
        <f t="shared" si="19"/>
        <v/>
      </c>
    </row>
    <row r="321" spans="4:20" x14ac:dyDescent="0.25">
      <c r="D321" s="38" t="str">
        <f t="shared" si="16"/>
        <v/>
      </c>
      <c r="E321" s="38" t="str">
        <f t="shared" si="17"/>
        <v/>
      </c>
      <c r="G321" s="1"/>
      <c r="L321" s="39" t="str">
        <f t="shared" si="18"/>
        <v/>
      </c>
      <c r="T321" s="39" t="str">
        <f t="shared" si="19"/>
        <v/>
      </c>
    </row>
    <row r="322" spans="4:20" x14ac:dyDescent="0.25">
      <c r="D322" s="38" t="str">
        <f t="shared" ref="D322:D385" si="20">IF($B322="", "", CHOOSE(MONTH($B322), "Gennaio","Febbraio","Marzo","Aprile","Maggio","Giugno","Luglio","Agosto","Settembre","Ottobre","Novembre","Dicembre"))</f>
        <v/>
      </c>
      <c r="E322" s="38" t="str">
        <f t="shared" ref="E322:E385" si="21">IF($B322="", "", CHOOSE(WEEKDAY($B322,2), "Lunedì","Martedì","Mercoledì","Giovedì","Venerdì","Sabato","Domenica"))</f>
        <v/>
      </c>
      <c r="G322" s="1"/>
      <c r="L322" s="39" t="str">
        <f t="shared" ref="L322:L385" si="22">IF($K322="Target", $G322*$H322, IF($K322="Stop Loss", -$G322, IF($K322="Breakeven", 0, "")))</f>
        <v/>
      </c>
      <c r="T322" s="39" t="str">
        <f t="shared" si="19"/>
        <v/>
      </c>
    </row>
    <row r="323" spans="4:20" x14ac:dyDescent="0.25">
      <c r="D323" s="38" t="str">
        <f t="shared" si="20"/>
        <v/>
      </c>
      <c r="E323" s="38" t="str">
        <f t="shared" si="21"/>
        <v/>
      </c>
      <c r="G323" s="1"/>
      <c r="L323" s="39" t="str">
        <f t="shared" si="22"/>
        <v/>
      </c>
      <c r="T323" s="39" t="str">
        <f t="shared" ref="T323:T386" si="23">IF($L323="", "", $T322 + $L323)</f>
        <v/>
      </c>
    </row>
    <row r="324" spans="4:20" x14ac:dyDescent="0.25">
      <c r="D324" s="38" t="str">
        <f t="shared" si="20"/>
        <v/>
      </c>
      <c r="E324" s="38" t="str">
        <f t="shared" si="21"/>
        <v/>
      </c>
      <c r="G324" s="1"/>
      <c r="L324" s="39" t="str">
        <f t="shared" si="22"/>
        <v/>
      </c>
      <c r="T324" s="39" t="str">
        <f t="shared" si="23"/>
        <v/>
      </c>
    </row>
    <row r="325" spans="4:20" x14ac:dyDescent="0.25">
      <c r="D325" s="38" t="str">
        <f t="shared" si="20"/>
        <v/>
      </c>
      <c r="E325" s="38" t="str">
        <f t="shared" si="21"/>
        <v/>
      </c>
      <c r="G325" s="1"/>
      <c r="L325" s="39" t="str">
        <f t="shared" si="22"/>
        <v/>
      </c>
      <c r="T325" s="39" t="str">
        <f t="shared" si="23"/>
        <v/>
      </c>
    </row>
    <row r="326" spans="4:20" x14ac:dyDescent="0.25">
      <c r="D326" s="38" t="str">
        <f t="shared" si="20"/>
        <v/>
      </c>
      <c r="E326" s="38" t="str">
        <f t="shared" si="21"/>
        <v/>
      </c>
      <c r="G326" s="1"/>
      <c r="L326" s="39" t="str">
        <f t="shared" si="22"/>
        <v/>
      </c>
      <c r="T326" s="39" t="str">
        <f t="shared" si="23"/>
        <v/>
      </c>
    </row>
    <row r="327" spans="4:20" x14ac:dyDescent="0.25">
      <c r="D327" s="38" t="str">
        <f t="shared" si="20"/>
        <v/>
      </c>
      <c r="E327" s="38" t="str">
        <f t="shared" si="21"/>
        <v/>
      </c>
      <c r="G327" s="1"/>
      <c r="L327" s="39" t="str">
        <f t="shared" si="22"/>
        <v/>
      </c>
      <c r="T327" s="39" t="str">
        <f t="shared" si="23"/>
        <v/>
      </c>
    </row>
    <row r="328" spans="4:20" x14ac:dyDescent="0.25">
      <c r="D328" s="38" t="str">
        <f t="shared" si="20"/>
        <v/>
      </c>
      <c r="E328" s="38" t="str">
        <f t="shared" si="21"/>
        <v/>
      </c>
      <c r="G328" s="1"/>
      <c r="L328" s="39" t="str">
        <f t="shared" si="22"/>
        <v/>
      </c>
      <c r="T328" s="39" t="str">
        <f t="shared" si="23"/>
        <v/>
      </c>
    </row>
    <row r="329" spans="4:20" x14ac:dyDescent="0.25">
      <c r="D329" s="38" t="str">
        <f t="shared" si="20"/>
        <v/>
      </c>
      <c r="E329" s="38" t="str">
        <f t="shared" si="21"/>
        <v/>
      </c>
      <c r="G329" s="1"/>
      <c r="L329" s="39" t="str">
        <f t="shared" si="22"/>
        <v/>
      </c>
      <c r="T329" s="39" t="str">
        <f t="shared" si="23"/>
        <v/>
      </c>
    </row>
    <row r="330" spans="4:20" x14ac:dyDescent="0.25">
      <c r="D330" s="38" t="str">
        <f t="shared" si="20"/>
        <v/>
      </c>
      <c r="E330" s="38" t="str">
        <f t="shared" si="21"/>
        <v/>
      </c>
      <c r="G330" s="1"/>
      <c r="L330" s="39" t="str">
        <f t="shared" si="22"/>
        <v/>
      </c>
      <c r="T330" s="39" t="str">
        <f t="shared" si="23"/>
        <v/>
      </c>
    </row>
    <row r="331" spans="4:20" x14ac:dyDescent="0.25">
      <c r="D331" s="38" t="str">
        <f t="shared" si="20"/>
        <v/>
      </c>
      <c r="E331" s="38" t="str">
        <f t="shared" si="21"/>
        <v/>
      </c>
      <c r="G331" s="1"/>
      <c r="L331" s="39" t="str">
        <f t="shared" si="22"/>
        <v/>
      </c>
      <c r="T331" s="39" t="str">
        <f t="shared" si="23"/>
        <v/>
      </c>
    </row>
    <row r="332" spans="4:20" x14ac:dyDescent="0.25">
      <c r="D332" s="38" t="str">
        <f t="shared" si="20"/>
        <v/>
      </c>
      <c r="E332" s="38" t="str">
        <f t="shared" si="21"/>
        <v/>
      </c>
      <c r="G332" s="1"/>
      <c r="L332" s="39" t="str">
        <f t="shared" si="22"/>
        <v/>
      </c>
      <c r="T332" s="39" t="str">
        <f t="shared" si="23"/>
        <v/>
      </c>
    </row>
    <row r="333" spans="4:20" x14ac:dyDescent="0.25">
      <c r="D333" s="38" t="str">
        <f t="shared" si="20"/>
        <v/>
      </c>
      <c r="E333" s="38" t="str">
        <f t="shared" si="21"/>
        <v/>
      </c>
      <c r="G333" s="1"/>
      <c r="L333" s="39" t="str">
        <f t="shared" si="22"/>
        <v/>
      </c>
      <c r="T333" s="39" t="str">
        <f t="shared" si="23"/>
        <v/>
      </c>
    </row>
    <row r="334" spans="4:20" x14ac:dyDescent="0.25">
      <c r="D334" s="38" t="str">
        <f t="shared" si="20"/>
        <v/>
      </c>
      <c r="E334" s="38" t="str">
        <f t="shared" si="21"/>
        <v/>
      </c>
      <c r="G334" s="1"/>
      <c r="L334" s="39" t="str">
        <f t="shared" si="22"/>
        <v/>
      </c>
      <c r="T334" s="39" t="str">
        <f t="shared" si="23"/>
        <v/>
      </c>
    </row>
    <row r="335" spans="4:20" x14ac:dyDescent="0.25">
      <c r="D335" s="38" t="str">
        <f t="shared" si="20"/>
        <v/>
      </c>
      <c r="E335" s="38" t="str">
        <f t="shared" si="21"/>
        <v/>
      </c>
      <c r="G335" s="1"/>
      <c r="L335" s="39" t="str">
        <f t="shared" si="22"/>
        <v/>
      </c>
      <c r="T335" s="39" t="str">
        <f t="shared" si="23"/>
        <v/>
      </c>
    </row>
    <row r="336" spans="4:20" x14ac:dyDescent="0.25">
      <c r="D336" s="38" t="str">
        <f t="shared" si="20"/>
        <v/>
      </c>
      <c r="E336" s="38" t="str">
        <f t="shared" si="21"/>
        <v/>
      </c>
      <c r="G336" s="1"/>
      <c r="L336" s="39" t="str">
        <f t="shared" si="22"/>
        <v/>
      </c>
      <c r="T336" s="39" t="str">
        <f t="shared" si="23"/>
        <v/>
      </c>
    </row>
    <row r="337" spans="4:20" x14ac:dyDescent="0.25">
      <c r="D337" s="38" t="str">
        <f t="shared" si="20"/>
        <v/>
      </c>
      <c r="E337" s="38" t="str">
        <f t="shared" si="21"/>
        <v/>
      </c>
      <c r="G337" s="1"/>
      <c r="L337" s="39" t="str">
        <f t="shared" si="22"/>
        <v/>
      </c>
      <c r="T337" s="39" t="str">
        <f t="shared" si="23"/>
        <v/>
      </c>
    </row>
    <row r="338" spans="4:20" x14ac:dyDescent="0.25">
      <c r="D338" s="38" t="str">
        <f t="shared" si="20"/>
        <v/>
      </c>
      <c r="E338" s="38" t="str">
        <f t="shared" si="21"/>
        <v/>
      </c>
      <c r="G338" s="1"/>
      <c r="L338" s="39" t="str">
        <f t="shared" si="22"/>
        <v/>
      </c>
      <c r="T338" s="39" t="str">
        <f t="shared" si="23"/>
        <v/>
      </c>
    </row>
    <row r="339" spans="4:20" x14ac:dyDescent="0.25">
      <c r="D339" s="38" t="str">
        <f t="shared" si="20"/>
        <v/>
      </c>
      <c r="E339" s="38" t="str">
        <f t="shared" si="21"/>
        <v/>
      </c>
      <c r="G339" s="1"/>
      <c r="L339" s="39" t="str">
        <f t="shared" si="22"/>
        <v/>
      </c>
      <c r="T339" s="39" t="str">
        <f t="shared" si="23"/>
        <v/>
      </c>
    </row>
    <row r="340" spans="4:20" x14ac:dyDescent="0.25">
      <c r="D340" s="38" t="str">
        <f t="shared" si="20"/>
        <v/>
      </c>
      <c r="E340" s="38" t="str">
        <f t="shared" si="21"/>
        <v/>
      </c>
      <c r="G340" s="1"/>
      <c r="L340" s="39" t="str">
        <f t="shared" si="22"/>
        <v/>
      </c>
      <c r="T340" s="39" t="str">
        <f t="shared" si="23"/>
        <v/>
      </c>
    </row>
    <row r="341" spans="4:20" x14ac:dyDescent="0.25">
      <c r="D341" s="38" t="str">
        <f t="shared" si="20"/>
        <v/>
      </c>
      <c r="E341" s="38" t="str">
        <f t="shared" si="21"/>
        <v/>
      </c>
      <c r="G341" s="1"/>
      <c r="L341" s="39" t="str">
        <f t="shared" si="22"/>
        <v/>
      </c>
      <c r="T341" s="39" t="str">
        <f t="shared" si="23"/>
        <v/>
      </c>
    </row>
    <row r="342" spans="4:20" x14ac:dyDescent="0.25">
      <c r="D342" s="38" t="str">
        <f t="shared" si="20"/>
        <v/>
      </c>
      <c r="E342" s="38" t="str">
        <f t="shared" si="21"/>
        <v/>
      </c>
      <c r="G342" s="1"/>
      <c r="L342" s="39" t="str">
        <f t="shared" si="22"/>
        <v/>
      </c>
      <c r="T342" s="39" t="str">
        <f t="shared" si="23"/>
        <v/>
      </c>
    </row>
    <row r="343" spans="4:20" x14ac:dyDescent="0.25">
      <c r="D343" s="38" t="str">
        <f t="shared" si="20"/>
        <v/>
      </c>
      <c r="E343" s="38" t="str">
        <f t="shared" si="21"/>
        <v/>
      </c>
      <c r="G343" s="1"/>
      <c r="L343" s="39" t="str">
        <f t="shared" si="22"/>
        <v/>
      </c>
      <c r="T343" s="39" t="str">
        <f t="shared" si="23"/>
        <v/>
      </c>
    </row>
    <row r="344" spans="4:20" x14ac:dyDescent="0.25">
      <c r="D344" s="38" t="str">
        <f t="shared" si="20"/>
        <v/>
      </c>
      <c r="E344" s="38" t="str">
        <f t="shared" si="21"/>
        <v/>
      </c>
      <c r="G344" s="1"/>
      <c r="L344" s="39" t="str">
        <f t="shared" si="22"/>
        <v/>
      </c>
      <c r="T344" s="39" t="str">
        <f t="shared" si="23"/>
        <v/>
      </c>
    </row>
    <row r="345" spans="4:20" x14ac:dyDescent="0.25">
      <c r="D345" s="38" t="str">
        <f t="shared" si="20"/>
        <v/>
      </c>
      <c r="E345" s="38" t="str">
        <f t="shared" si="21"/>
        <v/>
      </c>
      <c r="G345" s="1"/>
      <c r="L345" s="39" t="str">
        <f t="shared" si="22"/>
        <v/>
      </c>
      <c r="T345" s="39" t="str">
        <f t="shared" si="23"/>
        <v/>
      </c>
    </row>
    <row r="346" spans="4:20" x14ac:dyDescent="0.25">
      <c r="D346" s="38" t="str">
        <f t="shared" si="20"/>
        <v/>
      </c>
      <c r="E346" s="38" t="str">
        <f t="shared" si="21"/>
        <v/>
      </c>
      <c r="G346" s="1"/>
      <c r="L346" s="39" t="str">
        <f t="shared" si="22"/>
        <v/>
      </c>
      <c r="T346" s="39" t="str">
        <f t="shared" si="23"/>
        <v/>
      </c>
    </row>
    <row r="347" spans="4:20" x14ac:dyDescent="0.25">
      <c r="D347" s="38" t="str">
        <f t="shared" si="20"/>
        <v/>
      </c>
      <c r="E347" s="38" t="str">
        <f t="shared" si="21"/>
        <v/>
      </c>
      <c r="G347" s="1"/>
      <c r="L347" s="39" t="str">
        <f t="shared" si="22"/>
        <v/>
      </c>
      <c r="T347" s="39" t="str">
        <f t="shared" si="23"/>
        <v/>
      </c>
    </row>
    <row r="348" spans="4:20" x14ac:dyDescent="0.25">
      <c r="D348" s="38" t="str">
        <f t="shared" si="20"/>
        <v/>
      </c>
      <c r="E348" s="38" t="str">
        <f t="shared" si="21"/>
        <v/>
      </c>
      <c r="G348" s="1"/>
      <c r="L348" s="39" t="str">
        <f t="shared" si="22"/>
        <v/>
      </c>
      <c r="T348" s="39" t="str">
        <f t="shared" si="23"/>
        <v/>
      </c>
    </row>
    <row r="349" spans="4:20" x14ac:dyDescent="0.25">
      <c r="D349" s="38" t="str">
        <f t="shared" si="20"/>
        <v/>
      </c>
      <c r="E349" s="38" t="str">
        <f t="shared" si="21"/>
        <v/>
      </c>
      <c r="G349" s="1"/>
      <c r="L349" s="39" t="str">
        <f t="shared" si="22"/>
        <v/>
      </c>
      <c r="T349" s="39" t="str">
        <f t="shared" si="23"/>
        <v/>
      </c>
    </row>
    <row r="350" spans="4:20" x14ac:dyDescent="0.25">
      <c r="D350" s="38" t="str">
        <f t="shared" si="20"/>
        <v/>
      </c>
      <c r="E350" s="38" t="str">
        <f t="shared" si="21"/>
        <v/>
      </c>
      <c r="G350" s="1"/>
      <c r="L350" s="39" t="str">
        <f t="shared" si="22"/>
        <v/>
      </c>
      <c r="T350" s="39" t="str">
        <f t="shared" si="23"/>
        <v/>
      </c>
    </row>
    <row r="351" spans="4:20" x14ac:dyDescent="0.25">
      <c r="D351" s="38" t="str">
        <f t="shared" si="20"/>
        <v/>
      </c>
      <c r="E351" s="38" t="str">
        <f t="shared" si="21"/>
        <v/>
      </c>
      <c r="G351" s="1"/>
      <c r="L351" s="39" t="str">
        <f t="shared" si="22"/>
        <v/>
      </c>
      <c r="T351" s="39" t="str">
        <f t="shared" si="23"/>
        <v/>
      </c>
    </row>
    <row r="352" spans="4:20" x14ac:dyDescent="0.25">
      <c r="D352" s="38" t="str">
        <f t="shared" si="20"/>
        <v/>
      </c>
      <c r="E352" s="38" t="str">
        <f t="shared" si="21"/>
        <v/>
      </c>
      <c r="G352" s="1"/>
      <c r="L352" s="39" t="str">
        <f t="shared" si="22"/>
        <v/>
      </c>
      <c r="T352" s="39" t="str">
        <f t="shared" si="23"/>
        <v/>
      </c>
    </row>
    <row r="353" spans="4:20" x14ac:dyDescent="0.25">
      <c r="D353" s="38" t="str">
        <f t="shared" si="20"/>
        <v/>
      </c>
      <c r="E353" s="38" t="str">
        <f t="shared" si="21"/>
        <v/>
      </c>
      <c r="G353" s="1"/>
      <c r="L353" s="39" t="str">
        <f t="shared" si="22"/>
        <v/>
      </c>
      <c r="T353" s="39" t="str">
        <f t="shared" si="23"/>
        <v/>
      </c>
    </row>
    <row r="354" spans="4:20" x14ac:dyDescent="0.25">
      <c r="D354" s="38" t="str">
        <f t="shared" si="20"/>
        <v/>
      </c>
      <c r="E354" s="38" t="str">
        <f t="shared" si="21"/>
        <v/>
      </c>
      <c r="G354" s="1"/>
      <c r="L354" s="39" t="str">
        <f t="shared" si="22"/>
        <v/>
      </c>
      <c r="T354" s="39" t="str">
        <f t="shared" si="23"/>
        <v/>
      </c>
    </row>
    <row r="355" spans="4:20" x14ac:dyDescent="0.25">
      <c r="D355" s="38" t="str">
        <f t="shared" si="20"/>
        <v/>
      </c>
      <c r="E355" s="38" t="str">
        <f t="shared" si="21"/>
        <v/>
      </c>
      <c r="G355" s="1"/>
      <c r="L355" s="39" t="str">
        <f t="shared" si="22"/>
        <v/>
      </c>
      <c r="T355" s="39" t="str">
        <f t="shared" si="23"/>
        <v/>
      </c>
    </row>
    <row r="356" spans="4:20" x14ac:dyDescent="0.25">
      <c r="D356" s="38" t="str">
        <f t="shared" si="20"/>
        <v/>
      </c>
      <c r="E356" s="38" t="str">
        <f t="shared" si="21"/>
        <v/>
      </c>
      <c r="G356" s="1"/>
      <c r="L356" s="39" t="str">
        <f t="shared" si="22"/>
        <v/>
      </c>
      <c r="T356" s="39" t="str">
        <f t="shared" si="23"/>
        <v/>
      </c>
    </row>
    <row r="357" spans="4:20" x14ac:dyDescent="0.25">
      <c r="D357" s="38" t="str">
        <f t="shared" si="20"/>
        <v/>
      </c>
      <c r="E357" s="38" t="str">
        <f t="shared" si="21"/>
        <v/>
      </c>
      <c r="G357" s="1"/>
      <c r="L357" s="39" t="str">
        <f t="shared" si="22"/>
        <v/>
      </c>
      <c r="T357" s="39" t="str">
        <f t="shared" si="23"/>
        <v/>
      </c>
    </row>
    <row r="358" spans="4:20" x14ac:dyDescent="0.25">
      <c r="D358" s="38" t="str">
        <f t="shared" si="20"/>
        <v/>
      </c>
      <c r="E358" s="38" t="str">
        <f t="shared" si="21"/>
        <v/>
      </c>
      <c r="G358" s="1"/>
      <c r="L358" s="39" t="str">
        <f t="shared" si="22"/>
        <v/>
      </c>
      <c r="T358" s="39" t="str">
        <f t="shared" si="23"/>
        <v/>
      </c>
    </row>
    <row r="359" spans="4:20" x14ac:dyDescent="0.25">
      <c r="D359" s="38" t="str">
        <f t="shared" si="20"/>
        <v/>
      </c>
      <c r="E359" s="38" t="str">
        <f t="shared" si="21"/>
        <v/>
      </c>
      <c r="G359" s="1"/>
      <c r="L359" s="39" t="str">
        <f t="shared" si="22"/>
        <v/>
      </c>
      <c r="T359" s="39" t="str">
        <f t="shared" si="23"/>
        <v/>
      </c>
    </row>
    <row r="360" spans="4:20" x14ac:dyDescent="0.25">
      <c r="D360" s="38" t="str">
        <f t="shared" si="20"/>
        <v/>
      </c>
      <c r="E360" s="38" t="str">
        <f t="shared" si="21"/>
        <v/>
      </c>
      <c r="G360" s="1"/>
      <c r="L360" s="39" t="str">
        <f t="shared" si="22"/>
        <v/>
      </c>
      <c r="T360" s="39" t="str">
        <f t="shared" si="23"/>
        <v/>
      </c>
    </row>
    <row r="361" spans="4:20" x14ac:dyDescent="0.25">
      <c r="D361" s="38" t="str">
        <f t="shared" si="20"/>
        <v/>
      </c>
      <c r="E361" s="38" t="str">
        <f t="shared" si="21"/>
        <v/>
      </c>
      <c r="G361" s="1"/>
      <c r="L361" s="39" t="str">
        <f t="shared" si="22"/>
        <v/>
      </c>
      <c r="T361" s="39" t="str">
        <f t="shared" si="23"/>
        <v/>
      </c>
    </row>
    <row r="362" spans="4:20" x14ac:dyDescent="0.25">
      <c r="D362" s="38" t="str">
        <f t="shared" si="20"/>
        <v/>
      </c>
      <c r="E362" s="38" t="str">
        <f t="shared" si="21"/>
        <v/>
      </c>
      <c r="G362" s="1"/>
      <c r="L362" s="39" t="str">
        <f t="shared" si="22"/>
        <v/>
      </c>
      <c r="T362" s="39" t="str">
        <f t="shared" si="23"/>
        <v/>
      </c>
    </row>
    <row r="363" spans="4:20" x14ac:dyDescent="0.25">
      <c r="D363" s="38" t="str">
        <f t="shared" si="20"/>
        <v/>
      </c>
      <c r="E363" s="38" t="str">
        <f t="shared" si="21"/>
        <v/>
      </c>
      <c r="G363" s="1"/>
      <c r="L363" s="39" t="str">
        <f t="shared" si="22"/>
        <v/>
      </c>
      <c r="T363" s="39" t="str">
        <f t="shared" si="23"/>
        <v/>
      </c>
    </row>
    <row r="364" spans="4:20" x14ac:dyDescent="0.25">
      <c r="D364" s="38" t="str">
        <f t="shared" si="20"/>
        <v/>
      </c>
      <c r="E364" s="38" t="str">
        <f t="shared" si="21"/>
        <v/>
      </c>
      <c r="G364" s="1"/>
      <c r="L364" s="39" t="str">
        <f t="shared" si="22"/>
        <v/>
      </c>
      <c r="T364" s="39" t="str">
        <f t="shared" si="23"/>
        <v/>
      </c>
    </row>
    <row r="365" spans="4:20" x14ac:dyDescent="0.25">
      <c r="D365" s="38" t="str">
        <f t="shared" si="20"/>
        <v/>
      </c>
      <c r="E365" s="38" t="str">
        <f t="shared" si="21"/>
        <v/>
      </c>
      <c r="G365" s="1"/>
      <c r="L365" s="39" t="str">
        <f t="shared" si="22"/>
        <v/>
      </c>
      <c r="T365" s="39" t="str">
        <f t="shared" si="23"/>
        <v/>
      </c>
    </row>
    <row r="366" spans="4:20" x14ac:dyDescent="0.25">
      <c r="D366" s="38" t="str">
        <f t="shared" si="20"/>
        <v/>
      </c>
      <c r="E366" s="38" t="str">
        <f t="shared" si="21"/>
        <v/>
      </c>
      <c r="G366" s="1"/>
      <c r="L366" s="39" t="str">
        <f t="shared" si="22"/>
        <v/>
      </c>
      <c r="T366" s="39" t="str">
        <f t="shared" si="23"/>
        <v/>
      </c>
    </row>
    <row r="367" spans="4:20" x14ac:dyDescent="0.25">
      <c r="D367" s="38" t="str">
        <f t="shared" si="20"/>
        <v/>
      </c>
      <c r="E367" s="38" t="str">
        <f t="shared" si="21"/>
        <v/>
      </c>
      <c r="G367" s="1"/>
      <c r="L367" s="39" t="str">
        <f t="shared" si="22"/>
        <v/>
      </c>
      <c r="T367" s="39" t="str">
        <f t="shared" si="23"/>
        <v/>
      </c>
    </row>
    <row r="368" spans="4:20" x14ac:dyDescent="0.25">
      <c r="D368" s="38" t="str">
        <f t="shared" si="20"/>
        <v/>
      </c>
      <c r="E368" s="38" t="str">
        <f t="shared" si="21"/>
        <v/>
      </c>
      <c r="G368" s="1"/>
      <c r="L368" s="39" t="str">
        <f t="shared" si="22"/>
        <v/>
      </c>
      <c r="T368" s="39" t="str">
        <f t="shared" si="23"/>
        <v/>
      </c>
    </row>
    <row r="369" spans="4:20" x14ac:dyDescent="0.25">
      <c r="D369" s="38" t="str">
        <f t="shared" si="20"/>
        <v/>
      </c>
      <c r="E369" s="38" t="str">
        <f t="shared" si="21"/>
        <v/>
      </c>
      <c r="G369" s="1"/>
      <c r="L369" s="39" t="str">
        <f t="shared" si="22"/>
        <v/>
      </c>
      <c r="T369" s="39" t="str">
        <f t="shared" si="23"/>
        <v/>
      </c>
    </row>
    <row r="370" spans="4:20" x14ac:dyDescent="0.25">
      <c r="D370" s="38" t="str">
        <f t="shared" si="20"/>
        <v/>
      </c>
      <c r="E370" s="38" t="str">
        <f t="shared" si="21"/>
        <v/>
      </c>
      <c r="G370" s="1"/>
      <c r="L370" s="39" t="str">
        <f t="shared" si="22"/>
        <v/>
      </c>
      <c r="T370" s="39" t="str">
        <f t="shared" si="23"/>
        <v/>
      </c>
    </row>
    <row r="371" spans="4:20" x14ac:dyDescent="0.25">
      <c r="D371" s="38" t="str">
        <f t="shared" si="20"/>
        <v/>
      </c>
      <c r="E371" s="38" t="str">
        <f t="shared" si="21"/>
        <v/>
      </c>
      <c r="G371" s="1"/>
      <c r="L371" s="39" t="str">
        <f t="shared" si="22"/>
        <v/>
      </c>
      <c r="T371" s="39" t="str">
        <f t="shared" si="23"/>
        <v/>
      </c>
    </row>
    <row r="372" spans="4:20" x14ac:dyDescent="0.25">
      <c r="D372" s="38" t="str">
        <f t="shared" si="20"/>
        <v/>
      </c>
      <c r="E372" s="38" t="str">
        <f t="shared" si="21"/>
        <v/>
      </c>
      <c r="G372" s="1"/>
      <c r="L372" s="39" t="str">
        <f t="shared" si="22"/>
        <v/>
      </c>
      <c r="T372" s="39" t="str">
        <f t="shared" si="23"/>
        <v/>
      </c>
    </row>
    <row r="373" spans="4:20" x14ac:dyDescent="0.25">
      <c r="D373" s="38" t="str">
        <f t="shared" si="20"/>
        <v/>
      </c>
      <c r="E373" s="38" t="str">
        <f t="shared" si="21"/>
        <v/>
      </c>
      <c r="G373" s="1"/>
      <c r="L373" s="39" t="str">
        <f t="shared" si="22"/>
        <v/>
      </c>
      <c r="T373" s="39" t="str">
        <f t="shared" si="23"/>
        <v/>
      </c>
    </row>
    <row r="374" spans="4:20" x14ac:dyDescent="0.25">
      <c r="D374" s="38" t="str">
        <f t="shared" si="20"/>
        <v/>
      </c>
      <c r="E374" s="38" t="str">
        <f t="shared" si="21"/>
        <v/>
      </c>
      <c r="G374" s="1"/>
      <c r="L374" s="39" t="str">
        <f t="shared" si="22"/>
        <v/>
      </c>
      <c r="T374" s="39" t="str">
        <f t="shared" si="23"/>
        <v/>
      </c>
    </row>
    <row r="375" spans="4:20" x14ac:dyDescent="0.25">
      <c r="D375" s="38" t="str">
        <f t="shared" si="20"/>
        <v/>
      </c>
      <c r="E375" s="38" t="str">
        <f t="shared" si="21"/>
        <v/>
      </c>
      <c r="G375" s="1"/>
      <c r="L375" s="39" t="str">
        <f t="shared" si="22"/>
        <v/>
      </c>
      <c r="T375" s="39" t="str">
        <f t="shared" si="23"/>
        <v/>
      </c>
    </row>
    <row r="376" spans="4:20" x14ac:dyDescent="0.25">
      <c r="D376" s="38" t="str">
        <f t="shared" si="20"/>
        <v/>
      </c>
      <c r="E376" s="38" t="str">
        <f t="shared" si="21"/>
        <v/>
      </c>
      <c r="G376" s="1"/>
      <c r="L376" s="39" t="str">
        <f t="shared" si="22"/>
        <v/>
      </c>
      <c r="T376" s="39" t="str">
        <f t="shared" si="23"/>
        <v/>
      </c>
    </row>
    <row r="377" spans="4:20" x14ac:dyDescent="0.25">
      <c r="D377" s="38" t="str">
        <f t="shared" si="20"/>
        <v/>
      </c>
      <c r="E377" s="38" t="str">
        <f t="shared" si="21"/>
        <v/>
      </c>
      <c r="G377" s="1"/>
      <c r="L377" s="39" t="str">
        <f t="shared" si="22"/>
        <v/>
      </c>
      <c r="T377" s="39" t="str">
        <f t="shared" si="23"/>
        <v/>
      </c>
    </row>
    <row r="378" spans="4:20" x14ac:dyDescent="0.25">
      <c r="D378" s="38" t="str">
        <f t="shared" si="20"/>
        <v/>
      </c>
      <c r="E378" s="38" t="str">
        <f t="shared" si="21"/>
        <v/>
      </c>
      <c r="G378" s="1"/>
      <c r="L378" s="39" t="str">
        <f t="shared" si="22"/>
        <v/>
      </c>
      <c r="T378" s="39" t="str">
        <f t="shared" si="23"/>
        <v/>
      </c>
    </row>
    <row r="379" spans="4:20" x14ac:dyDescent="0.25">
      <c r="D379" s="38" t="str">
        <f t="shared" si="20"/>
        <v/>
      </c>
      <c r="E379" s="38" t="str">
        <f t="shared" si="21"/>
        <v/>
      </c>
      <c r="G379" s="1"/>
      <c r="L379" s="39" t="str">
        <f t="shared" si="22"/>
        <v/>
      </c>
      <c r="T379" s="39" t="str">
        <f t="shared" si="23"/>
        <v/>
      </c>
    </row>
    <row r="380" spans="4:20" x14ac:dyDescent="0.25">
      <c r="D380" s="38" t="str">
        <f t="shared" si="20"/>
        <v/>
      </c>
      <c r="E380" s="38" t="str">
        <f t="shared" si="21"/>
        <v/>
      </c>
      <c r="G380" s="1"/>
      <c r="L380" s="39" t="str">
        <f t="shared" si="22"/>
        <v/>
      </c>
      <c r="T380" s="39" t="str">
        <f t="shared" si="23"/>
        <v/>
      </c>
    </row>
    <row r="381" spans="4:20" x14ac:dyDescent="0.25">
      <c r="D381" s="38" t="str">
        <f t="shared" si="20"/>
        <v/>
      </c>
      <c r="E381" s="38" t="str">
        <f t="shared" si="21"/>
        <v/>
      </c>
      <c r="G381" s="1"/>
      <c r="L381" s="39" t="str">
        <f t="shared" si="22"/>
        <v/>
      </c>
      <c r="T381" s="39" t="str">
        <f t="shared" si="23"/>
        <v/>
      </c>
    </row>
    <row r="382" spans="4:20" x14ac:dyDescent="0.25">
      <c r="D382" s="38" t="str">
        <f t="shared" si="20"/>
        <v/>
      </c>
      <c r="E382" s="38" t="str">
        <f t="shared" si="21"/>
        <v/>
      </c>
      <c r="G382" s="1"/>
      <c r="L382" s="39" t="str">
        <f t="shared" si="22"/>
        <v/>
      </c>
      <c r="T382" s="39" t="str">
        <f t="shared" si="23"/>
        <v/>
      </c>
    </row>
    <row r="383" spans="4:20" x14ac:dyDescent="0.25">
      <c r="D383" s="38" t="str">
        <f t="shared" si="20"/>
        <v/>
      </c>
      <c r="E383" s="38" t="str">
        <f t="shared" si="21"/>
        <v/>
      </c>
      <c r="G383" s="1"/>
      <c r="L383" s="39" t="str">
        <f t="shared" si="22"/>
        <v/>
      </c>
      <c r="T383" s="39" t="str">
        <f t="shared" si="23"/>
        <v/>
      </c>
    </row>
    <row r="384" spans="4:20" x14ac:dyDescent="0.25">
      <c r="D384" s="38" t="str">
        <f t="shared" si="20"/>
        <v/>
      </c>
      <c r="E384" s="38" t="str">
        <f t="shared" si="21"/>
        <v/>
      </c>
      <c r="G384" s="1"/>
      <c r="L384" s="39" t="str">
        <f t="shared" si="22"/>
        <v/>
      </c>
      <c r="T384" s="39" t="str">
        <f t="shared" si="23"/>
        <v/>
      </c>
    </row>
    <row r="385" spans="4:20" x14ac:dyDescent="0.25">
      <c r="D385" s="38" t="str">
        <f t="shared" si="20"/>
        <v/>
      </c>
      <c r="E385" s="38" t="str">
        <f t="shared" si="21"/>
        <v/>
      </c>
      <c r="G385" s="1"/>
      <c r="L385" s="39" t="str">
        <f t="shared" si="22"/>
        <v/>
      </c>
      <c r="T385" s="39" t="str">
        <f t="shared" si="23"/>
        <v/>
      </c>
    </row>
    <row r="386" spans="4:20" x14ac:dyDescent="0.25">
      <c r="D386" s="38" t="str">
        <f t="shared" ref="D386:D449" si="24">IF($B386="", "", CHOOSE(MONTH($B386), "Gennaio","Febbraio","Marzo","Aprile","Maggio","Giugno","Luglio","Agosto","Settembre","Ottobre","Novembre","Dicembre"))</f>
        <v/>
      </c>
      <c r="E386" s="38" t="str">
        <f t="shared" ref="E386:E449" si="25">IF($B386="", "", CHOOSE(WEEKDAY($B386,2), "Lunedì","Martedì","Mercoledì","Giovedì","Venerdì","Sabato","Domenica"))</f>
        <v/>
      </c>
      <c r="G386" s="1"/>
      <c r="L386" s="39" t="str">
        <f t="shared" ref="L386:L449" si="26">IF($K386="Target", $G386*$H386, IF($K386="Stop Loss", -$G386, IF($K386="Breakeven", 0, "")))</f>
        <v/>
      </c>
      <c r="T386" s="39" t="str">
        <f t="shared" si="23"/>
        <v/>
      </c>
    </row>
    <row r="387" spans="4:20" x14ac:dyDescent="0.25">
      <c r="D387" s="38" t="str">
        <f t="shared" si="24"/>
        <v/>
      </c>
      <c r="E387" s="38" t="str">
        <f t="shared" si="25"/>
        <v/>
      </c>
      <c r="G387" s="1"/>
      <c r="L387" s="39" t="str">
        <f t="shared" si="26"/>
        <v/>
      </c>
      <c r="T387" s="39" t="str">
        <f t="shared" ref="T387:T450" si="27">IF($L387="", "", $T386 + $L387)</f>
        <v/>
      </c>
    </row>
    <row r="388" spans="4:20" x14ac:dyDescent="0.25">
      <c r="D388" s="38" t="str">
        <f t="shared" si="24"/>
        <v/>
      </c>
      <c r="E388" s="38" t="str">
        <f t="shared" si="25"/>
        <v/>
      </c>
      <c r="G388" s="1"/>
      <c r="L388" s="39" t="str">
        <f t="shared" si="26"/>
        <v/>
      </c>
      <c r="T388" s="39" t="str">
        <f t="shared" si="27"/>
        <v/>
      </c>
    </row>
    <row r="389" spans="4:20" x14ac:dyDescent="0.25">
      <c r="D389" s="38" t="str">
        <f t="shared" si="24"/>
        <v/>
      </c>
      <c r="E389" s="38" t="str">
        <f t="shared" si="25"/>
        <v/>
      </c>
      <c r="G389" s="1"/>
      <c r="L389" s="39" t="str">
        <f t="shared" si="26"/>
        <v/>
      </c>
      <c r="T389" s="39" t="str">
        <f t="shared" si="27"/>
        <v/>
      </c>
    </row>
    <row r="390" spans="4:20" x14ac:dyDescent="0.25">
      <c r="D390" s="38" t="str">
        <f t="shared" si="24"/>
        <v/>
      </c>
      <c r="E390" s="38" t="str">
        <f t="shared" si="25"/>
        <v/>
      </c>
      <c r="G390" s="1"/>
      <c r="L390" s="39" t="str">
        <f t="shared" si="26"/>
        <v/>
      </c>
      <c r="T390" s="39" t="str">
        <f t="shared" si="27"/>
        <v/>
      </c>
    </row>
    <row r="391" spans="4:20" x14ac:dyDescent="0.25">
      <c r="D391" s="38" t="str">
        <f t="shared" si="24"/>
        <v/>
      </c>
      <c r="E391" s="38" t="str">
        <f t="shared" si="25"/>
        <v/>
      </c>
      <c r="G391" s="1"/>
      <c r="L391" s="39" t="str">
        <f t="shared" si="26"/>
        <v/>
      </c>
      <c r="T391" s="39" t="str">
        <f t="shared" si="27"/>
        <v/>
      </c>
    </row>
    <row r="392" spans="4:20" x14ac:dyDescent="0.25">
      <c r="D392" s="38" t="str">
        <f t="shared" si="24"/>
        <v/>
      </c>
      <c r="E392" s="38" t="str">
        <f t="shared" si="25"/>
        <v/>
      </c>
      <c r="G392" s="1"/>
      <c r="L392" s="39" t="str">
        <f t="shared" si="26"/>
        <v/>
      </c>
      <c r="T392" s="39" t="str">
        <f t="shared" si="27"/>
        <v/>
      </c>
    </row>
    <row r="393" spans="4:20" x14ac:dyDescent="0.25">
      <c r="D393" s="38" t="str">
        <f t="shared" si="24"/>
        <v/>
      </c>
      <c r="E393" s="38" t="str">
        <f t="shared" si="25"/>
        <v/>
      </c>
      <c r="G393" s="1"/>
      <c r="L393" s="39" t="str">
        <f t="shared" si="26"/>
        <v/>
      </c>
      <c r="T393" s="39" t="str">
        <f t="shared" si="27"/>
        <v/>
      </c>
    </row>
    <row r="394" spans="4:20" x14ac:dyDescent="0.25">
      <c r="D394" s="38" t="str">
        <f t="shared" si="24"/>
        <v/>
      </c>
      <c r="E394" s="38" t="str">
        <f t="shared" si="25"/>
        <v/>
      </c>
      <c r="G394" s="1"/>
      <c r="L394" s="39" t="str">
        <f t="shared" si="26"/>
        <v/>
      </c>
      <c r="T394" s="39" t="str">
        <f t="shared" si="27"/>
        <v/>
      </c>
    </row>
    <row r="395" spans="4:20" x14ac:dyDescent="0.25">
      <c r="D395" s="38" t="str">
        <f t="shared" si="24"/>
        <v/>
      </c>
      <c r="E395" s="38" t="str">
        <f t="shared" si="25"/>
        <v/>
      </c>
      <c r="G395" s="1"/>
      <c r="L395" s="39" t="str">
        <f t="shared" si="26"/>
        <v/>
      </c>
      <c r="T395" s="39" t="str">
        <f t="shared" si="27"/>
        <v/>
      </c>
    </row>
    <row r="396" spans="4:20" x14ac:dyDescent="0.25">
      <c r="D396" s="38" t="str">
        <f t="shared" si="24"/>
        <v/>
      </c>
      <c r="E396" s="38" t="str">
        <f t="shared" si="25"/>
        <v/>
      </c>
      <c r="G396" s="1"/>
      <c r="L396" s="39" t="str">
        <f t="shared" si="26"/>
        <v/>
      </c>
      <c r="T396" s="39" t="str">
        <f t="shared" si="27"/>
        <v/>
      </c>
    </row>
    <row r="397" spans="4:20" x14ac:dyDescent="0.25">
      <c r="D397" s="38" t="str">
        <f t="shared" si="24"/>
        <v/>
      </c>
      <c r="E397" s="38" t="str">
        <f t="shared" si="25"/>
        <v/>
      </c>
      <c r="G397" s="1"/>
      <c r="L397" s="39" t="str">
        <f t="shared" si="26"/>
        <v/>
      </c>
      <c r="T397" s="39" t="str">
        <f t="shared" si="27"/>
        <v/>
      </c>
    </row>
    <row r="398" spans="4:20" x14ac:dyDescent="0.25">
      <c r="D398" s="38" t="str">
        <f t="shared" si="24"/>
        <v/>
      </c>
      <c r="E398" s="38" t="str">
        <f t="shared" si="25"/>
        <v/>
      </c>
      <c r="G398" s="1"/>
      <c r="L398" s="39" t="str">
        <f t="shared" si="26"/>
        <v/>
      </c>
      <c r="T398" s="39" t="str">
        <f t="shared" si="27"/>
        <v/>
      </c>
    </row>
    <row r="399" spans="4:20" x14ac:dyDescent="0.25">
      <c r="D399" s="38" t="str">
        <f t="shared" si="24"/>
        <v/>
      </c>
      <c r="E399" s="38" t="str">
        <f t="shared" si="25"/>
        <v/>
      </c>
      <c r="G399" s="1"/>
      <c r="L399" s="39" t="str">
        <f t="shared" si="26"/>
        <v/>
      </c>
      <c r="T399" s="39" t="str">
        <f t="shared" si="27"/>
        <v/>
      </c>
    </row>
    <row r="400" spans="4:20" x14ac:dyDescent="0.25">
      <c r="D400" s="38" t="str">
        <f t="shared" si="24"/>
        <v/>
      </c>
      <c r="E400" s="38" t="str">
        <f t="shared" si="25"/>
        <v/>
      </c>
      <c r="G400" s="1"/>
      <c r="L400" s="39" t="str">
        <f t="shared" si="26"/>
        <v/>
      </c>
      <c r="T400" s="39" t="str">
        <f t="shared" si="27"/>
        <v/>
      </c>
    </row>
    <row r="401" spans="4:20" x14ac:dyDescent="0.25">
      <c r="D401" s="38" t="str">
        <f t="shared" si="24"/>
        <v/>
      </c>
      <c r="E401" s="38" t="str">
        <f t="shared" si="25"/>
        <v/>
      </c>
      <c r="G401" s="1"/>
      <c r="L401" s="39" t="str">
        <f t="shared" si="26"/>
        <v/>
      </c>
      <c r="T401" s="39" t="str">
        <f t="shared" si="27"/>
        <v/>
      </c>
    </row>
    <row r="402" spans="4:20" x14ac:dyDescent="0.25">
      <c r="D402" s="38" t="str">
        <f t="shared" si="24"/>
        <v/>
      </c>
      <c r="E402" s="38" t="str">
        <f t="shared" si="25"/>
        <v/>
      </c>
      <c r="G402" s="1"/>
      <c r="L402" s="39" t="str">
        <f t="shared" si="26"/>
        <v/>
      </c>
      <c r="T402" s="39" t="str">
        <f t="shared" si="27"/>
        <v/>
      </c>
    </row>
    <row r="403" spans="4:20" x14ac:dyDescent="0.25">
      <c r="D403" s="38" t="str">
        <f t="shared" si="24"/>
        <v/>
      </c>
      <c r="E403" s="38" t="str">
        <f t="shared" si="25"/>
        <v/>
      </c>
      <c r="G403" s="1"/>
      <c r="L403" s="39" t="str">
        <f t="shared" si="26"/>
        <v/>
      </c>
      <c r="T403" s="39" t="str">
        <f t="shared" si="27"/>
        <v/>
      </c>
    </row>
    <row r="404" spans="4:20" x14ac:dyDescent="0.25">
      <c r="D404" s="38" t="str">
        <f t="shared" si="24"/>
        <v/>
      </c>
      <c r="E404" s="38" t="str">
        <f t="shared" si="25"/>
        <v/>
      </c>
      <c r="G404" s="1"/>
      <c r="L404" s="39" t="str">
        <f t="shared" si="26"/>
        <v/>
      </c>
      <c r="T404" s="39" t="str">
        <f t="shared" si="27"/>
        <v/>
      </c>
    </row>
    <row r="405" spans="4:20" x14ac:dyDescent="0.25">
      <c r="D405" s="38" t="str">
        <f t="shared" si="24"/>
        <v/>
      </c>
      <c r="E405" s="38" t="str">
        <f t="shared" si="25"/>
        <v/>
      </c>
      <c r="G405" s="1"/>
      <c r="L405" s="39" t="str">
        <f t="shared" si="26"/>
        <v/>
      </c>
      <c r="T405" s="39" t="str">
        <f t="shared" si="27"/>
        <v/>
      </c>
    </row>
    <row r="406" spans="4:20" x14ac:dyDescent="0.25">
      <c r="D406" s="38" t="str">
        <f t="shared" si="24"/>
        <v/>
      </c>
      <c r="E406" s="38" t="str">
        <f t="shared" si="25"/>
        <v/>
      </c>
      <c r="G406" s="1"/>
      <c r="L406" s="39" t="str">
        <f t="shared" si="26"/>
        <v/>
      </c>
      <c r="T406" s="39" t="str">
        <f t="shared" si="27"/>
        <v/>
      </c>
    </row>
    <row r="407" spans="4:20" x14ac:dyDescent="0.25">
      <c r="D407" s="38" t="str">
        <f t="shared" si="24"/>
        <v/>
      </c>
      <c r="E407" s="38" t="str">
        <f t="shared" si="25"/>
        <v/>
      </c>
      <c r="G407" s="1"/>
      <c r="L407" s="39" t="str">
        <f t="shared" si="26"/>
        <v/>
      </c>
      <c r="T407" s="39" t="str">
        <f t="shared" si="27"/>
        <v/>
      </c>
    </row>
    <row r="408" spans="4:20" x14ac:dyDescent="0.25">
      <c r="D408" s="38" t="str">
        <f t="shared" si="24"/>
        <v/>
      </c>
      <c r="E408" s="38" t="str">
        <f t="shared" si="25"/>
        <v/>
      </c>
      <c r="G408" s="1"/>
      <c r="L408" s="39" t="str">
        <f t="shared" si="26"/>
        <v/>
      </c>
      <c r="T408" s="39" t="str">
        <f t="shared" si="27"/>
        <v/>
      </c>
    </row>
    <row r="409" spans="4:20" x14ac:dyDescent="0.25">
      <c r="D409" s="38" t="str">
        <f t="shared" si="24"/>
        <v/>
      </c>
      <c r="E409" s="38" t="str">
        <f t="shared" si="25"/>
        <v/>
      </c>
      <c r="G409" s="1"/>
      <c r="L409" s="39" t="str">
        <f t="shared" si="26"/>
        <v/>
      </c>
      <c r="T409" s="39" t="str">
        <f t="shared" si="27"/>
        <v/>
      </c>
    </row>
    <row r="410" spans="4:20" x14ac:dyDescent="0.25">
      <c r="D410" s="38" t="str">
        <f t="shared" si="24"/>
        <v/>
      </c>
      <c r="E410" s="38" t="str">
        <f t="shared" si="25"/>
        <v/>
      </c>
      <c r="G410" s="1"/>
      <c r="L410" s="39" t="str">
        <f t="shared" si="26"/>
        <v/>
      </c>
      <c r="T410" s="39" t="str">
        <f t="shared" si="27"/>
        <v/>
      </c>
    </row>
    <row r="411" spans="4:20" x14ac:dyDescent="0.25">
      <c r="D411" s="38" t="str">
        <f t="shared" si="24"/>
        <v/>
      </c>
      <c r="E411" s="38" t="str">
        <f t="shared" si="25"/>
        <v/>
      </c>
      <c r="G411" s="1"/>
      <c r="L411" s="39" t="str">
        <f t="shared" si="26"/>
        <v/>
      </c>
      <c r="T411" s="39" t="str">
        <f t="shared" si="27"/>
        <v/>
      </c>
    </row>
    <row r="412" spans="4:20" x14ac:dyDescent="0.25">
      <c r="D412" s="38" t="str">
        <f t="shared" si="24"/>
        <v/>
      </c>
      <c r="E412" s="38" t="str">
        <f t="shared" si="25"/>
        <v/>
      </c>
      <c r="G412" s="1"/>
      <c r="L412" s="39" t="str">
        <f t="shared" si="26"/>
        <v/>
      </c>
      <c r="T412" s="39" t="str">
        <f t="shared" si="27"/>
        <v/>
      </c>
    </row>
    <row r="413" spans="4:20" x14ac:dyDescent="0.25">
      <c r="D413" s="38" t="str">
        <f t="shared" si="24"/>
        <v/>
      </c>
      <c r="E413" s="38" t="str">
        <f t="shared" si="25"/>
        <v/>
      </c>
      <c r="G413" s="1"/>
      <c r="L413" s="39" t="str">
        <f t="shared" si="26"/>
        <v/>
      </c>
      <c r="T413" s="39" t="str">
        <f t="shared" si="27"/>
        <v/>
      </c>
    </row>
    <row r="414" spans="4:20" x14ac:dyDescent="0.25">
      <c r="D414" s="38" t="str">
        <f t="shared" si="24"/>
        <v/>
      </c>
      <c r="E414" s="38" t="str">
        <f t="shared" si="25"/>
        <v/>
      </c>
      <c r="G414" s="1"/>
      <c r="L414" s="39" t="str">
        <f t="shared" si="26"/>
        <v/>
      </c>
      <c r="T414" s="39" t="str">
        <f t="shared" si="27"/>
        <v/>
      </c>
    </row>
    <row r="415" spans="4:20" x14ac:dyDescent="0.25">
      <c r="D415" s="38" t="str">
        <f t="shared" si="24"/>
        <v/>
      </c>
      <c r="E415" s="38" t="str">
        <f t="shared" si="25"/>
        <v/>
      </c>
      <c r="G415" s="1"/>
      <c r="L415" s="39" t="str">
        <f t="shared" si="26"/>
        <v/>
      </c>
      <c r="T415" s="39" t="str">
        <f t="shared" si="27"/>
        <v/>
      </c>
    </row>
    <row r="416" spans="4:20" x14ac:dyDescent="0.25">
      <c r="D416" s="38" t="str">
        <f t="shared" si="24"/>
        <v/>
      </c>
      <c r="E416" s="38" t="str">
        <f t="shared" si="25"/>
        <v/>
      </c>
      <c r="G416" s="1"/>
      <c r="L416" s="39" t="str">
        <f t="shared" si="26"/>
        <v/>
      </c>
      <c r="T416" s="39" t="str">
        <f t="shared" si="27"/>
        <v/>
      </c>
    </row>
    <row r="417" spans="4:20" x14ac:dyDescent="0.25">
      <c r="D417" s="38" t="str">
        <f t="shared" si="24"/>
        <v/>
      </c>
      <c r="E417" s="38" t="str">
        <f t="shared" si="25"/>
        <v/>
      </c>
      <c r="G417" s="1"/>
      <c r="L417" s="39" t="str">
        <f t="shared" si="26"/>
        <v/>
      </c>
      <c r="T417" s="39" t="str">
        <f t="shared" si="27"/>
        <v/>
      </c>
    </row>
    <row r="418" spans="4:20" x14ac:dyDescent="0.25">
      <c r="D418" s="38" t="str">
        <f t="shared" si="24"/>
        <v/>
      </c>
      <c r="E418" s="38" t="str">
        <f t="shared" si="25"/>
        <v/>
      </c>
      <c r="G418" s="1"/>
      <c r="L418" s="39" t="str">
        <f t="shared" si="26"/>
        <v/>
      </c>
      <c r="T418" s="39" t="str">
        <f t="shared" si="27"/>
        <v/>
      </c>
    </row>
    <row r="419" spans="4:20" x14ac:dyDescent="0.25">
      <c r="D419" s="38" t="str">
        <f t="shared" si="24"/>
        <v/>
      </c>
      <c r="E419" s="38" t="str">
        <f t="shared" si="25"/>
        <v/>
      </c>
      <c r="G419" s="1"/>
      <c r="L419" s="39" t="str">
        <f t="shared" si="26"/>
        <v/>
      </c>
      <c r="T419" s="39" t="str">
        <f t="shared" si="27"/>
        <v/>
      </c>
    </row>
    <row r="420" spans="4:20" x14ac:dyDescent="0.25">
      <c r="D420" s="38" t="str">
        <f t="shared" si="24"/>
        <v/>
      </c>
      <c r="E420" s="38" t="str">
        <f t="shared" si="25"/>
        <v/>
      </c>
      <c r="G420" s="1"/>
      <c r="L420" s="39" t="str">
        <f t="shared" si="26"/>
        <v/>
      </c>
      <c r="T420" s="39" t="str">
        <f t="shared" si="27"/>
        <v/>
      </c>
    </row>
    <row r="421" spans="4:20" x14ac:dyDescent="0.25">
      <c r="D421" s="38" t="str">
        <f t="shared" si="24"/>
        <v/>
      </c>
      <c r="E421" s="38" t="str">
        <f t="shared" si="25"/>
        <v/>
      </c>
      <c r="G421" s="1"/>
      <c r="L421" s="39" t="str">
        <f t="shared" si="26"/>
        <v/>
      </c>
      <c r="T421" s="39" t="str">
        <f t="shared" si="27"/>
        <v/>
      </c>
    </row>
    <row r="422" spans="4:20" x14ac:dyDescent="0.25">
      <c r="D422" s="38" t="str">
        <f t="shared" si="24"/>
        <v/>
      </c>
      <c r="E422" s="38" t="str">
        <f t="shared" si="25"/>
        <v/>
      </c>
      <c r="G422" s="1"/>
      <c r="L422" s="39" t="str">
        <f t="shared" si="26"/>
        <v/>
      </c>
      <c r="T422" s="39" t="str">
        <f t="shared" si="27"/>
        <v/>
      </c>
    </row>
    <row r="423" spans="4:20" x14ac:dyDescent="0.25">
      <c r="D423" s="38" t="str">
        <f t="shared" si="24"/>
        <v/>
      </c>
      <c r="E423" s="38" t="str">
        <f t="shared" si="25"/>
        <v/>
      </c>
      <c r="G423" s="1"/>
      <c r="L423" s="39" t="str">
        <f t="shared" si="26"/>
        <v/>
      </c>
      <c r="T423" s="39" t="str">
        <f t="shared" si="27"/>
        <v/>
      </c>
    </row>
    <row r="424" spans="4:20" x14ac:dyDescent="0.25">
      <c r="D424" s="38" t="str">
        <f t="shared" si="24"/>
        <v/>
      </c>
      <c r="E424" s="38" t="str">
        <f t="shared" si="25"/>
        <v/>
      </c>
      <c r="G424" s="1"/>
      <c r="L424" s="39" t="str">
        <f t="shared" si="26"/>
        <v/>
      </c>
      <c r="T424" s="39" t="str">
        <f t="shared" si="27"/>
        <v/>
      </c>
    </row>
    <row r="425" spans="4:20" x14ac:dyDescent="0.25">
      <c r="D425" s="38" t="str">
        <f t="shared" si="24"/>
        <v/>
      </c>
      <c r="E425" s="38" t="str">
        <f t="shared" si="25"/>
        <v/>
      </c>
      <c r="G425" s="1"/>
      <c r="L425" s="39" t="str">
        <f t="shared" si="26"/>
        <v/>
      </c>
      <c r="T425" s="39" t="str">
        <f t="shared" si="27"/>
        <v/>
      </c>
    </row>
    <row r="426" spans="4:20" x14ac:dyDescent="0.25">
      <c r="D426" s="38" t="str">
        <f t="shared" si="24"/>
        <v/>
      </c>
      <c r="E426" s="38" t="str">
        <f t="shared" si="25"/>
        <v/>
      </c>
      <c r="G426" s="1"/>
      <c r="L426" s="39" t="str">
        <f t="shared" si="26"/>
        <v/>
      </c>
      <c r="T426" s="39" t="str">
        <f t="shared" si="27"/>
        <v/>
      </c>
    </row>
    <row r="427" spans="4:20" x14ac:dyDescent="0.25">
      <c r="D427" s="38" t="str">
        <f t="shared" si="24"/>
        <v/>
      </c>
      <c r="E427" s="38" t="str">
        <f t="shared" si="25"/>
        <v/>
      </c>
      <c r="G427" s="1"/>
      <c r="L427" s="39" t="str">
        <f t="shared" si="26"/>
        <v/>
      </c>
      <c r="T427" s="39" t="str">
        <f t="shared" si="27"/>
        <v/>
      </c>
    </row>
    <row r="428" spans="4:20" x14ac:dyDescent="0.25">
      <c r="D428" s="38" t="str">
        <f t="shared" si="24"/>
        <v/>
      </c>
      <c r="E428" s="38" t="str">
        <f t="shared" si="25"/>
        <v/>
      </c>
      <c r="G428" s="1"/>
      <c r="L428" s="39" t="str">
        <f t="shared" si="26"/>
        <v/>
      </c>
      <c r="T428" s="39" t="str">
        <f t="shared" si="27"/>
        <v/>
      </c>
    </row>
    <row r="429" spans="4:20" x14ac:dyDescent="0.25">
      <c r="D429" s="38" t="str">
        <f t="shared" si="24"/>
        <v/>
      </c>
      <c r="E429" s="38" t="str">
        <f t="shared" si="25"/>
        <v/>
      </c>
      <c r="G429" s="1"/>
      <c r="L429" s="39" t="str">
        <f t="shared" si="26"/>
        <v/>
      </c>
      <c r="T429" s="39" t="str">
        <f t="shared" si="27"/>
        <v/>
      </c>
    </row>
    <row r="430" spans="4:20" x14ac:dyDescent="0.25">
      <c r="D430" s="38" t="str">
        <f t="shared" si="24"/>
        <v/>
      </c>
      <c r="E430" s="38" t="str">
        <f t="shared" si="25"/>
        <v/>
      </c>
      <c r="G430" s="1"/>
      <c r="L430" s="39" t="str">
        <f t="shared" si="26"/>
        <v/>
      </c>
      <c r="T430" s="39" t="str">
        <f t="shared" si="27"/>
        <v/>
      </c>
    </row>
    <row r="431" spans="4:20" x14ac:dyDescent="0.25">
      <c r="D431" s="38" t="str">
        <f t="shared" si="24"/>
        <v/>
      </c>
      <c r="E431" s="38" t="str">
        <f t="shared" si="25"/>
        <v/>
      </c>
      <c r="G431" s="1"/>
      <c r="L431" s="39" t="str">
        <f t="shared" si="26"/>
        <v/>
      </c>
      <c r="T431" s="39" t="str">
        <f t="shared" si="27"/>
        <v/>
      </c>
    </row>
    <row r="432" spans="4:20" x14ac:dyDescent="0.25">
      <c r="D432" s="38" t="str">
        <f t="shared" si="24"/>
        <v/>
      </c>
      <c r="E432" s="38" t="str">
        <f t="shared" si="25"/>
        <v/>
      </c>
      <c r="G432" s="1"/>
      <c r="L432" s="39" t="str">
        <f t="shared" si="26"/>
        <v/>
      </c>
      <c r="T432" s="39" t="str">
        <f t="shared" si="27"/>
        <v/>
      </c>
    </row>
    <row r="433" spans="4:20" x14ac:dyDescent="0.25">
      <c r="D433" s="38" t="str">
        <f t="shared" si="24"/>
        <v/>
      </c>
      <c r="E433" s="38" t="str">
        <f t="shared" si="25"/>
        <v/>
      </c>
      <c r="G433" s="1"/>
      <c r="L433" s="39" t="str">
        <f t="shared" si="26"/>
        <v/>
      </c>
      <c r="T433" s="39" t="str">
        <f t="shared" si="27"/>
        <v/>
      </c>
    </row>
    <row r="434" spans="4:20" x14ac:dyDescent="0.25">
      <c r="D434" s="38" t="str">
        <f t="shared" si="24"/>
        <v/>
      </c>
      <c r="E434" s="38" t="str">
        <f t="shared" si="25"/>
        <v/>
      </c>
      <c r="G434" s="1"/>
      <c r="L434" s="39" t="str">
        <f t="shared" si="26"/>
        <v/>
      </c>
      <c r="T434" s="39" t="str">
        <f t="shared" si="27"/>
        <v/>
      </c>
    </row>
    <row r="435" spans="4:20" x14ac:dyDescent="0.25">
      <c r="D435" s="38" t="str">
        <f t="shared" si="24"/>
        <v/>
      </c>
      <c r="E435" s="38" t="str">
        <f t="shared" si="25"/>
        <v/>
      </c>
      <c r="G435" s="1"/>
      <c r="L435" s="39" t="str">
        <f t="shared" si="26"/>
        <v/>
      </c>
      <c r="T435" s="39" t="str">
        <f t="shared" si="27"/>
        <v/>
      </c>
    </row>
    <row r="436" spans="4:20" x14ac:dyDescent="0.25">
      <c r="D436" s="38" t="str">
        <f t="shared" si="24"/>
        <v/>
      </c>
      <c r="E436" s="38" t="str">
        <f t="shared" si="25"/>
        <v/>
      </c>
      <c r="G436" s="1"/>
      <c r="L436" s="39" t="str">
        <f t="shared" si="26"/>
        <v/>
      </c>
      <c r="T436" s="39" t="str">
        <f t="shared" si="27"/>
        <v/>
      </c>
    </row>
    <row r="437" spans="4:20" x14ac:dyDescent="0.25">
      <c r="D437" s="38" t="str">
        <f t="shared" si="24"/>
        <v/>
      </c>
      <c r="E437" s="38" t="str">
        <f t="shared" si="25"/>
        <v/>
      </c>
      <c r="G437" s="1"/>
      <c r="L437" s="39" t="str">
        <f t="shared" si="26"/>
        <v/>
      </c>
      <c r="T437" s="39" t="str">
        <f t="shared" si="27"/>
        <v/>
      </c>
    </row>
    <row r="438" spans="4:20" x14ac:dyDescent="0.25">
      <c r="D438" s="38" t="str">
        <f t="shared" si="24"/>
        <v/>
      </c>
      <c r="E438" s="38" t="str">
        <f t="shared" si="25"/>
        <v/>
      </c>
      <c r="G438" s="1"/>
      <c r="L438" s="39" t="str">
        <f t="shared" si="26"/>
        <v/>
      </c>
      <c r="T438" s="39" t="str">
        <f t="shared" si="27"/>
        <v/>
      </c>
    </row>
    <row r="439" spans="4:20" x14ac:dyDescent="0.25">
      <c r="D439" s="38" t="str">
        <f t="shared" si="24"/>
        <v/>
      </c>
      <c r="E439" s="38" t="str">
        <f t="shared" si="25"/>
        <v/>
      </c>
      <c r="G439" s="1"/>
      <c r="L439" s="39" t="str">
        <f t="shared" si="26"/>
        <v/>
      </c>
      <c r="T439" s="39" t="str">
        <f t="shared" si="27"/>
        <v/>
      </c>
    </row>
    <row r="440" spans="4:20" x14ac:dyDescent="0.25">
      <c r="D440" s="38" t="str">
        <f t="shared" si="24"/>
        <v/>
      </c>
      <c r="E440" s="38" t="str">
        <f t="shared" si="25"/>
        <v/>
      </c>
      <c r="G440" s="1"/>
      <c r="L440" s="39" t="str">
        <f t="shared" si="26"/>
        <v/>
      </c>
      <c r="T440" s="39" t="str">
        <f t="shared" si="27"/>
        <v/>
      </c>
    </row>
    <row r="441" spans="4:20" x14ac:dyDescent="0.25">
      <c r="D441" s="38" t="str">
        <f t="shared" si="24"/>
        <v/>
      </c>
      <c r="E441" s="38" t="str">
        <f t="shared" si="25"/>
        <v/>
      </c>
      <c r="G441" s="1"/>
      <c r="L441" s="39" t="str">
        <f t="shared" si="26"/>
        <v/>
      </c>
      <c r="T441" s="39" t="str">
        <f t="shared" si="27"/>
        <v/>
      </c>
    </row>
    <row r="442" spans="4:20" x14ac:dyDescent="0.25">
      <c r="D442" s="38" t="str">
        <f t="shared" si="24"/>
        <v/>
      </c>
      <c r="E442" s="38" t="str">
        <f t="shared" si="25"/>
        <v/>
      </c>
      <c r="G442" s="1"/>
      <c r="L442" s="39" t="str">
        <f t="shared" si="26"/>
        <v/>
      </c>
      <c r="T442" s="39" t="str">
        <f t="shared" si="27"/>
        <v/>
      </c>
    </row>
    <row r="443" spans="4:20" x14ac:dyDescent="0.25">
      <c r="D443" s="38" t="str">
        <f t="shared" si="24"/>
        <v/>
      </c>
      <c r="E443" s="38" t="str">
        <f t="shared" si="25"/>
        <v/>
      </c>
      <c r="G443" s="1"/>
      <c r="L443" s="39" t="str">
        <f t="shared" si="26"/>
        <v/>
      </c>
      <c r="T443" s="39" t="str">
        <f t="shared" si="27"/>
        <v/>
      </c>
    </row>
    <row r="444" spans="4:20" x14ac:dyDescent="0.25">
      <c r="D444" s="38" t="str">
        <f t="shared" si="24"/>
        <v/>
      </c>
      <c r="E444" s="38" t="str">
        <f t="shared" si="25"/>
        <v/>
      </c>
      <c r="G444" s="1"/>
      <c r="L444" s="39" t="str">
        <f t="shared" si="26"/>
        <v/>
      </c>
      <c r="T444" s="39" t="str">
        <f t="shared" si="27"/>
        <v/>
      </c>
    </row>
    <row r="445" spans="4:20" x14ac:dyDescent="0.25">
      <c r="D445" s="38" t="str">
        <f t="shared" si="24"/>
        <v/>
      </c>
      <c r="E445" s="38" t="str">
        <f t="shared" si="25"/>
        <v/>
      </c>
      <c r="G445" s="1"/>
      <c r="L445" s="39" t="str">
        <f t="shared" si="26"/>
        <v/>
      </c>
      <c r="T445" s="39" t="str">
        <f t="shared" si="27"/>
        <v/>
      </c>
    </row>
    <row r="446" spans="4:20" x14ac:dyDescent="0.25">
      <c r="D446" s="38" t="str">
        <f t="shared" si="24"/>
        <v/>
      </c>
      <c r="E446" s="38" t="str">
        <f t="shared" si="25"/>
        <v/>
      </c>
      <c r="G446" s="1"/>
      <c r="L446" s="39" t="str">
        <f t="shared" si="26"/>
        <v/>
      </c>
      <c r="T446" s="39" t="str">
        <f t="shared" si="27"/>
        <v/>
      </c>
    </row>
    <row r="447" spans="4:20" x14ac:dyDescent="0.25">
      <c r="D447" s="38" t="str">
        <f t="shared" si="24"/>
        <v/>
      </c>
      <c r="E447" s="38" t="str">
        <f t="shared" si="25"/>
        <v/>
      </c>
      <c r="G447" s="1"/>
      <c r="L447" s="39" t="str">
        <f t="shared" si="26"/>
        <v/>
      </c>
      <c r="T447" s="39" t="str">
        <f t="shared" si="27"/>
        <v/>
      </c>
    </row>
    <row r="448" spans="4:20" x14ac:dyDescent="0.25">
      <c r="D448" s="38" t="str">
        <f t="shared" si="24"/>
        <v/>
      </c>
      <c r="E448" s="38" t="str">
        <f t="shared" si="25"/>
        <v/>
      </c>
      <c r="G448" s="1"/>
      <c r="L448" s="39" t="str">
        <f t="shared" si="26"/>
        <v/>
      </c>
      <c r="T448" s="39" t="str">
        <f t="shared" si="27"/>
        <v/>
      </c>
    </row>
    <row r="449" spans="4:20" x14ac:dyDescent="0.25">
      <c r="D449" s="38" t="str">
        <f t="shared" si="24"/>
        <v/>
      </c>
      <c r="E449" s="38" t="str">
        <f t="shared" si="25"/>
        <v/>
      </c>
      <c r="G449" s="1"/>
      <c r="L449" s="39" t="str">
        <f t="shared" si="26"/>
        <v/>
      </c>
      <c r="T449" s="39" t="str">
        <f t="shared" si="27"/>
        <v/>
      </c>
    </row>
    <row r="450" spans="4:20" x14ac:dyDescent="0.25">
      <c r="D450" s="38" t="str">
        <f t="shared" ref="D450:D513" si="28">IF($B450="", "", CHOOSE(MONTH($B450), "Gennaio","Febbraio","Marzo","Aprile","Maggio","Giugno","Luglio","Agosto","Settembre","Ottobre","Novembre","Dicembre"))</f>
        <v/>
      </c>
      <c r="E450" s="38" t="str">
        <f t="shared" ref="E450:E513" si="29">IF($B450="", "", CHOOSE(WEEKDAY($B450,2), "Lunedì","Martedì","Mercoledì","Giovedì","Venerdì","Sabato","Domenica"))</f>
        <v/>
      </c>
      <c r="G450" s="1"/>
      <c r="L450" s="39" t="str">
        <f t="shared" ref="L450:L513" si="30">IF($K450="Target", $G450*$H450, IF($K450="Stop Loss", -$G450, IF($K450="Breakeven", 0, "")))</f>
        <v/>
      </c>
      <c r="T450" s="39" t="str">
        <f t="shared" si="27"/>
        <v/>
      </c>
    </row>
    <row r="451" spans="4:20" x14ac:dyDescent="0.25">
      <c r="D451" s="38" t="str">
        <f t="shared" si="28"/>
        <v/>
      </c>
      <c r="E451" s="38" t="str">
        <f t="shared" si="29"/>
        <v/>
      </c>
      <c r="G451" s="1"/>
      <c r="L451" s="39" t="str">
        <f t="shared" si="30"/>
        <v/>
      </c>
      <c r="T451" s="39" t="str">
        <f t="shared" ref="T451:T514" si="31">IF($L451="", "", $T450 + $L451)</f>
        <v/>
      </c>
    </row>
    <row r="452" spans="4:20" x14ac:dyDescent="0.25">
      <c r="D452" s="38" t="str">
        <f t="shared" si="28"/>
        <v/>
      </c>
      <c r="E452" s="38" t="str">
        <f t="shared" si="29"/>
        <v/>
      </c>
      <c r="G452" s="1"/>
      <c r="L452" s="39" t="str">
        <f t="shared" si="30"/>
        <v/>
      </c>
      <c r="T452" s="39" t="str">
        <f t="shared" si="31"/>
        <v/>
      </c>
    </row>
    <row r="453" spans="4:20" x14ac:dyDescent="0.25">
      <c r="D453" s="38" t="str">
        <f t="shared" si="28"/>
        <v/>
      </c>
      <c r="E453" s="38" t="str">
        <f t="shared" si="29"/>
        <v/>
      </c>
      <c r="G453" s="1"/>
      <c r="L453" s="39" t="str">
        <f t="shared" si="30"/>
        <v/>
      </c>
      <c r="T453" s="39" t="str">
        <f t="shared" si="31"/>
        <v/>
      </c>
    </row>
    <row r="454" spans="4:20" x14ac:dyDescent="0.25">
      <c r="D454" s="38" t="str">
        <f t="shared" si="28"/>
        <v/>
      </c>
      <c r="E454" s="38" t="str">
        <f t="shared" si="29"/>
        <v/>
      </c>
      <c r="G454" s="1"/>
      <c r="L454" s="39" t="str">
        <f t="shared" si="30"/>
        <v/>
      </c>
      <c r="T454" s="39" t="str">
        <f t="shared" si="31"/>
        <v/>
      </c>
    </row>
    <row r="455" spans="4:20" x14ac:dyDescent="0.25">
      <c r="D455" s="38" t="str">
        <f t="shared" si="28"/>
        <v/>
      </c>
      <c r="E455" s="38" t="str">
        <f t="shared" si="29"/>
        <v/>
      </c>
      <c r="G455" s="1"/>
      <c r="L455" s="39" t="str">
        <f t="shared" si="30"/>
        <v/>
      </c>
      <c r="T455" s="39" t="str">
        <f t="shared" si="31"/>
        <v/>
      </c>
    </row>
    <row r="456" spans="4:20" x14ac:dyDescent="0.25">
      <c r="D456" s="38" t="str">
        <f t="shared" si="28"/>
        <v/>
      </c>
      <c r="E456" s="38" t="str">
        <f t="shared" si="29"/>
        <v/>
      </c>
      <c r="G456" s="1"/>
      <c r="L456" s="39" t="str">
        <f t="shared" si="30"/>
        <v/>
      </c>
      <c r="T456" s="39" t="str">
        <f t="shared" si="31"/>
        <v/>
      </c>
    </row>
    <row r="457" spans="4:20" x14ac:dyDescent="0.25">
      <c r="D457" s="38" t="str">
        <f t="shared" si="28"/>
        <v/>
      </c>
      <c r="E457" s="38" t="str">
        <f t="shared" si="29"/>
        <v/>
      </c>
      <c r="G457" s="1"/>
      <c r="L457" s="39" t="str">
        <f t="shared" si="30"/>
        <v/>
      </c>
      <c r="T457" s="39" t="str">
        <f t="shared" si="31"/>
        <v/>
      </c>
    </row>
    <row r="458" spans="4:20" x14ac:dyDescent="0.25">
      <c r="D458" s="38" t="str">
        <f t="shared" si="28"/>
        <v/>
      </c>
      <c r="E458" s="38" t="str">
        <f t="shared" si="29"/>
        <v/>
      </c>
      <c r="G458" s="1"/>
      <c r="L458" s="39" t="str">
        <f t="shared" si="30"/>
        <v/>
      </c>
      <c r="T458" s="39" t="str">
        <f t="shared" si="31"/>
        <v/>
      </c>
    </row>
    <row r="459" spans="4:20" x14ac:dyDescent="0.25">
      <c r="D459" s="38" t="str">
        <f t="shared" si="28"/>
        <v/>
      </c>
      <c r="E459" s="38" t="str">
        <f t="shared" si="29"/>
        <v/>
      </c>
      <c r="G459" s="1"/>
      <c r="L459" s="39" t="str">
        <f t="shared" si="30"/>
        <v/>
      </c>
      <c r="T459" s="39" t="str">
        <f t="shared" si="31"/>
        <v/>
      </c>
    </row>
    <row r="460" spans="4:20" x14ac:dyDescent="0.25">
      <c r="D460" s="38" t="str">
        <f t="shared" si="28"/>
        <v/>
      </c>
      <c r="E460" s="38" t="str">
        <f t="shared" si="29"/>
        <v/>
      </c>
      <c r="G460" s="1"/>
      <c r="L460" s="39" t="str">
        <f t="shared" si="30"/>
        <v/>
      </c>
      <c r="T460" s="39" t="str">
        <f t="shared" si="31"/>
        <v/>
      </c>
    </row>
    <row r="461" spans="4:20" x14ac:dyDescent="0.25">
      <c r="D461" s="38" t="str">
        <f t="shared" si="28"/>
        <v/>
      </c>
      <c r="E461" s="38" t="str">
        <f t="shared" si="29"/>
        <v/>
      </c>
      <c r="G461" s="1"/>
      <c r="L461" s="39" t="str">
        <f t="shared" si="30"/>
        <v/>
      </c>
      <c r="T461" s="39" t="str">
        <f t="shared" si="31"/>
        <v/>
      </c>
    </row>
    <row r="462" spans="4:20" x14ac:dyDescent="0.25">
      <c r="D462" s="38" t="str">
        <f t="shared" si="28"/>
        <v/>
      </c>
      <c r="E462" s="38" t="str">
        <f t="shared" si="29"/>
        <v/>
      </c>
      <c r="G462" s="1"/>
      <c r="L462" s="39" t="str">
        <f t="shared" si="30"/>
        <v/>
      </c>
      <c r="T462" s="39" t="str">
        <f t="shared" si="31"/>
        <v/>
      </c>
    </row>
    <row r="463" spans="4:20" x14ac:dyDescent="0.25">
      <c r="D463" s="38" t="str">
        <f t="shared" si="28"/>
        <v/>
      </c>
      <c r="E463" s="38" t="str">
        <f t="shared" si="29"/>
        <v/>
      </c>
      <c r="G463" s="1"/>
      <c r="L463" s="39" t="str">
        <f t="shared" si="30"/>
        <v/>
      </c>
      <c r="T463" s="39" t="str">
        <f t="shared" si="31"/>
        <v/>
      </c>
    </row>
    <row r="464" spans="4:20" x14ac:dyDescent="0.25">
      <c r="D464" s="38" t="str">
        <f t="shared" si="28"/>
        <v/>
      </c>
      <c r="E464" s="38" t="str">
        <f t="shared" si="29"/>
        <v/>
      </c>
      <c r="G464" s="1"/>
      <c r="L464" s="39" t="str">
        <f t="shared" si="30"/>
        <v/>
      </c>
      <c r="T464" s="39" t="str">
        <f t="shared" si="31"/>
        <v/>
      </c>
    </row>
    <row r="465" spans="4:20" x14ac:dyDescent="0.25">
      <c r="D465" s="38" t="str">
        <f t="shared" si="28"/>
        <v/>
      </c>
      <c r="E465" s="38" t="str">
        <f t="shared" si="29"/>
        <v/>
      </c>
      <c r="G465" s="1"/>
      <c r="L465" s="39" t="str">
        <f t="shared" si="30"/>
        <v/>
      </c>
      <c r="T465" s="39" t="str">
        <f t="shared" si="31"/>
        <v/>
      </c>
    </row>
    <row r="466" spans="4:20" x14ac:dyDescent="0.25">
      <c r="D466" s="38" t="str">
        <f t="shared" si="28"/>
        <v/>
      </c>
      <c r="E466" s="38" t="str">
        <f t="shared" si="29"/>
        <v/>
      </c>
      <c r="G466" s="1"/>
      <c r="L466" s="39" t="str">
        <f t="shared" si="30"/>
        <v/>
      </c>
      <c r="T466" s="39" t="str">
        <f t="shared" si="31"/>
        <v/>
      </c>
    </row>
    <row r="467" spans="4:20" x14ac:dyDescent="0.25">
      <c r="D467" s="38" t="str">
        <f t="shared" si="28"/>
        <v/>
      </c>
      <c r="E467" s="38" t="str">
        <f t="shared" si="29"/>
        <v/>
      </c>
      <c r="G467" s="1"/>
      <c r="L467" s="39" t="str">
        <f t="shared" si="30"/>
        <v/>
      </c>
      <c r="T467" s="39" t="str">
        <f t="shared" si="31"/>
        <v/>
      </c>
    </row>
    <row r="468" spans="4:20" x14ac:dyDescent="0.25">
      <c r="D468" s="38" t="str">
        <f t="shared" si="28"/>
        <v/>
      </c>
      <c r="E468" s="38" t="str">
        <f t="shared" si="29"/>
        <v/>
      </c>
      <c r="G468" s="1"/>
      <c r="L468" s="39" t="str">
        <f t="shared" si="30"/>
        <v/>
      </c>
      <c r="T468" s="39" t="str">
        <f t="shared" si="31"/>
        <v/>
      </c>
    </row>
    <row r="469" spans="4:20" x14ac:dyDescent="0.25">
      <c r="D469" s="38" t="str">
        <f t="shared" si="28"/>
        <v/>
      </c>
      <c r="E469" s="38" t="str">
        <f t="shared" si="29"/>
        <v/>
      </c>
      <c r="G469" s="1"/>
      <c r="L469" s="39" t="str">
        <f t="shared" si="30"/>
        <v/>
      </c>
      <c r="T469" s="39" t="str">
        <f t="shared" si="31"/>
        <v/>
      </c>
    </row>
    <row r="470" spans="4:20" x14ac:dyDescent="0.25">
      <c r="D470" s="38" t="str">
        <f t="shared" si="28"/>
        <v/>
      </c>
      <c r="E470" s="38" t="str">
        <f t="shared" si="29"/>
        <v/>
      </c>
      <c r="G470" s="1"/>
      <c r="L470" s="39" t="str">
        <f t="shared" si="30"/>
        <v/>
      </c>
      <c r="T470" s="39" t="str">
        <f t="shared" si="31"/>
        <v/>
      </c>
    </row>
    <row r="471" spans="4:20" x14ac:dyDescent="0.25">
      <c r="D471" s="38" t="str">
        <f t="shared" si="28"/>
        <v/>
      </c>
      <c r="E471" s="38" t="str">
        <f t="shared" si="29"/>
        <v/>
      </c>
      <c r="G471" s="1"/>
      <c r="L471" s="39" t="str">
        <f t="shared" si="30"/>
        <v/>
      </c>
      <c r="T471" s="39" t="str">
        <f t="shared" si="31"/>
        <v/>
      </c>
    </row>
    <row r="472" spans="4:20" x14ac:dyDescent="0.25">
      <c r="D472" s="38" t="str">
        <f t="shared" si="28"/>
        <v/>
      </c>
      <c r="E472" s="38" t="str">
        <f t="shared" si="29"/>
        <v/>
      </c>
      <c r="G472" s="1"/>
      <c r="L472" s="39" t="str">
        <f t="shared" si="30"/>
        <v/>
      </c>
      <c r="T472" s="39" t="str">
        <f t="shared" si="31"/>
        <v/>
      </c>
    </row>
    <row r="473" spans="4:20" x14ac:dyDescent="0.25">
      <c r="D473" s="38" t="str">
        <f t="shared" si="28"/>
        <v/>
      </c>
      <c r="E473" s="38" t="str">
        <f t="shared" si="29"/>
        <v/>
      </c>
      <c r="G473" s="1"/>
      <c r="L473" s="39" t="str">
        <f t="shared" si="30"/>
        <v/>
      </c>
      <c r="T473" s="39" t="str">
        <f t="shared" si="31"/>
        <v/>
      </c>
    </row>
    <row r="474" spans="4:20" x14ac:dyDescent="0.25">
      <c r="D474" s="38" t="str">
        <f t="shared" si="28"/>
        <v/>
      </c>
      <c r="E474" s="38" t="str">
        <f t="shared" si="29"/>
        <v/>
      </c>
      <c r="G474" s="1"/>
      <c r="L474" s="39" t="str">
        <f t="shared" si="30"/>
        <v/>
      </c>
      <c r="T474" s="39" t="str">
        <f t="shared" si="31"/>
        <v/>
      </c>
    </row>
    <row r="475" spans="4:20" x14ac:dyDescent="0.25">
      <c r="D475" s="38" t="str">
        <f t="shared" si="28"/>
        <v/>
      </c>
      <c r="E475" s="38" t="str">
        <f t="shared" si="29"/>
        <v/>
      </c>
      <c r="G475" s="1"/>
      <c r="L475" s="39" t="str">
        <f t="shared" si="30"/>
        <v/>
      </c>
      <c r="T475" s="39" t="str">
        <f t="shared" si="31"/>
        <v/>
      </c>
    </row>
    <row r="476" spans="4:20" x14ac:dyDescent="0.25">
      <c r="D476" s="38" t="str">
        <f t="shared" si="28"/>
        <v/>
      </c>
      <c r="E476" s="38" t="str">
        <f t="shared" si="29"/>
        <v/>
      </c>
      <c r="G476" s="1"/>
      <c r="L476" s="39" t="str">
        <f t="shared" si="30"/>
        <v/>
      </c>
      <c r="T476" s="39" t="str">
        <f t="shared" si="31"/>
        <v/>
      </c>
    </row>
    <row r="477" spans="4:20" x14ac:dyDescent="0.25">
      <c r="D477" s="38" t="str">
        <f t="shared" si="28"/>
        <v/>
      </c>
      <c r="E477" s="38" t="str">
        <f t="shared" si="29"/>
        <v/>
      </c>
      <c r="G477" s="1"/>
      <c r="L477" s="39" t="str">
        <f t="shared" si="30"/>
        <v/>
      </c>
      <c r="T477" s="39" t="str">
        <f t="shared" si="31"/>
        <v/>
      </c>
    </row>
    <row r="478" spans="4:20" x14ac:dyDescent="0.25">
      <c r="D478" s="38" t="str">
        <f t="shared" si="28"/>
        <v/>
      </c>
      <c r="E478" s="38" t="str">
        <f t="shared" si="29"/>
        <v/>
      </c>
      <c r="G478" s="1"/>
      <c r="L478" s="39" t="str">
        <f t="shared" si="30"/>
        <v/>
      </c>
      <c r="T478" s="39" t="str">
        <f t="shared" si="31"/>
        <v/>
      </c>
    </row>
    <row r="479" spans="4:20" x14ac:dyDescent="0.25">
      <c r="D479" s="38" t="str">
        <f t="shared" si="28"/>
        <v/>
      </c>
      <c r="E479" s="38" t="str">
        <f t="shared" si="29"/>
        <v/>
      </c>
      <c r="G479" s="1"/>
      <c r="L479" s="39" t="str">
        <f t="shared" si="30"/>
        <v/>
      </c>
      <c r="T479" s="39" t="str">
        <f t="shared" si="31"/>
        <v/>
      </c>
    </row>
    <row r="480" spans="4:20" x14ac:dyDescent="0.25">
      <c r="D480" s="38" t="str">
        <f t="shared" si="28"/>
        <v/>
      </c>
      <c r="E480" s="38" t="str">
        <f t="shared" si="29"/>
        <v/>
      </c>
      <c r="G480" s="1"/>
      <c r="L480" s="39" t="str">
        <f t="shared" si="30"/>
        <v/>
      </c>
      <c r="T480" s="39" t="str">
        <f t="shared" si="31"/>
        <v/>
      </c>
    </row>
    <row r="481" spans="4:20" x14ac:dyDescent="0.25">
      <c r="D481" s="38" t="str">
        <f t="shared" si="28"/>
        <v/>
      </c>
      <c r="E481" s="38" t="str">
        <f t="shared" si="29"/>
        <v/>
      </c>
      <c r="G481" s="1"/>
      <c r="L481" s="39" t="str">
        <f t="shared" si="30"/>
        <v/>
      </c>
      <c r="T481" s="39" t="str">
        <f t="shared" si="31"/>
        <v/>
      </c>
    </row>
    <row r="482" spans="4:20" x14ac:dyDescent="0.25">
      <c r="D482" s="38" t="str">
        <f t="shared" si="28"/>
        <v/>
      </c>
      <c r="E482" s="38" t="str">
        <f t="shared" si="29"/>
        <v/>
      </c>
      <c r="G482" s="1"/>
      <c r="L482" s="39" t="str">
        <f t="shared" si="30"/>
        <v/>
      </c>
      <c r="T482" s="39" t="str">
        <f t="shared" si="31"/>
        <v/>
      </c>
    </row>
    <row r="483" spans="4:20" x14ac:dyDescent="0.25">
      <c r="D483" s="38" t="str">
        <f t="shared" si="28"/>
        <v/>
      </c>
      <c r="E483" s="38" t="str">
        <f t="shared" si="29"/>
        <v/>
      </c>
      <c r="G483" s="1"/>
      <c r="L483" s="39" t="str">
        <f t="shared" si="30"/>
        <v/>
      </c>
      <c r="T483" s="39" t="str">
        <f t="shared" si="31"/>
        <v/>
      </c>
    </row>
    <row r="484" spans="4:20" x14ac:dyDescent="0.25">
      <c r="D484" s="38" t="str">
        <f t="shared" si="28"/>
        <v/>
      </c>
      <c r="E484" s="38" t="str">
        <f t="shared" si="29"/>
        <v/>
      </c>
      <c r="G484" s="1"/>
      <c r="L484" s="39" t="str">
        <f t="shared" si="30"/>
        <v/>
      </c>
      <c r="T484" s="39" t="str">
        <f t="shared" si="31"/>
        <v/>
      </c>
    </row>
    <row r="485" spans="4:20" x14ac:dyDescent="0.25">
      <c r="D485" s="38" t="str">
        <f t="shared" si="28"/>
        <v/>
      </c>
      <c r="E485" s="38" t="str">
        <f t="shared" si="29"/>
        <v/>
      </c>
      <c r="G485" s="1"/>
      <c r="L485" s="39" t="str">
        <f t="shared" si="30"/>
        <v/>
      </c>
      <c r="T485" s="39" t="str">
        <f t="shared" si="31"/>
        <v/>
      </c>
    </row>
    <row r="486" spans="4:20" x14ac:dyDescent="0.25">
      <c r="D486" s="38" t="str">
        <f t="shared" si="28"/>
        <v/>
      </c>
      <c r="E486" s="38" t="str">
        <f t="shared" si="29"/>
        <v/>
      </c>
      <c r="G486" s="1"/>
      <c r="L486" s="39" t="str">
        <f t="shared" si="30"/>
        <v/>
      </c>
      <c r="T486" s="39" t="str">
        <f t="shared" si="31"/>
        <v/>
      </c>
    </row>
    <row r="487" spans="4:20" x14ac:dyDescent="0.25">
      <c r="D487" s="38" t="str">
        <f t="shared" si="28"/>
        <v/>
      </c>
      <c r="E487" s="38" t="str">
        <f t="shared" si="29"/>
        <v/>
      </c>
      <c r="G487" s="1"/>
      <c r="L487" s="39" t="str">
        <f t="shared" si="30"/>
        <v/>
      </c>
      <c r="T487" s="39" t="str">
        <f t="shared" si="31"/>
        <v/>
      </c>
    </row>
    <row r="488" spans="4:20" x14ac:dyDescent="0.25">
      <c r="D488" s="38" t="str">
        <f t="shared" si="28"/>
        <v/>
      </c>
      <c r="E488" s="38" t="str">
        <f t="shared" si="29"/>
        <v/>
      </c>
      <c r="G488" s="1"/>
      <c r="L488" s="39" t="str">
        <f t="shared" si="30"/>
        <v/>
      </c>
      <c r="T488" s="39" t="str">
        <f t="shared" si="31"/>
        <v/>
      </c>
    </row>
    <row r="489" spans="4:20" x14ac:dyDescent="0.25">
      <c r="D489" s="38" t="str">
        <f t="shared" si="28"/>
        <v/>
      </c>
      <c r="E489" s="38" t="str">
        <f t="shared" si="29"/>
        <v/>
      </c>
      <c r="G489" s="1"/>
      <c r="L489" s="39" t="str">
        <f t="shared" si="30"/>
        <v/>
      </c>
      <c r="T489" s="39" t="str">
        <f t="shared" si="31"/>
        <v/>
      </c>
    </row>
    <row r="490" spans="4:20" x14ac:dyDescent="0.25">
      <c r="D490" s="38" t="str">
        <f t="shared" si="28"/>
        <v/>
      </c>
      <c r="E490" s="38" t="str">
        <f t="shared" si="29"/>
        <v/>
      </c>
      <c r="G490" s="1"/>
      <c r="L490" s="39" t="str">
        <f t="shared" si="30"/>
        <v/>
      </c>
      <c r="T490" s="39" t="str">
        <f t="shared" si="31"/>
        <v/>
      </c>
    </row>
    <row r="491" spans="4:20" x14ac:dyDescent="0.25">
      <c r="D491" s="38" t="str">
        <f t="shared" si="28"/>
        <v/>
      </c>
      <c r="E491" s="38" t="str">
        <f t="shared" si="29"/>
        <v/>
      </c>
      <c r="G491" s="1"/>
      <c r="L491" s="39" t="str">
        <f t="shared" si="30"/>
        <v/>
      </c>
      <c r="T491" s="39" t="str">
        <f t="shared" si="31"/>
        <v/>
      </c>
    </row>
    <row r="492" spans="4:20" x14ac:dyDescent="0.25">
      <c r="D492" s="38" t="str">
        <f t="shared" si="28"/>
        <v/>
      </c>
      <c r="E492" s="38" t="str">
        <f t="shared" si="29"/>
        <v/>
      </c>
      <c r="G492" s="1"/>
      <c r="L492" s="39" t="str">
        <f t="shared" si="30"/>
        <v/>
      </c>
      <c r="T492" s="39" t="str">
        <f t="shared" si="31"/>
        <v/>
      </c>
    </row>
    <row r="493" spans="4:20" x14ac:dyDescent="0.25">
      <c r="D493" s="38" t="str">
        <f t="shared" si="28"/>
        <v/>
      </c>
      <c r="E493" s="38" t="str">
        <f t="shared" si="29"/>
        <v/>
      </c>
      <c r="G493" s="1"/>
      <c r="L493" s="39" t="str">
        <f t="shared" si="30"/>
        <v/>
      </c>
      <c r="T493" s="39" t="str">
        <f t="shared" si="31"/>
        <v/>
      </c>
    </row>
    <row r="494" spans="4:20" x14ac:dyDescent="0.25">
      <c r="D494" s="38" t="str">
        <f t="shared" si="28"/>
        <v/>
      </c>
      <c r="E494" s="38" t="str">
        <f t="shared" si="29"/>
        <v/>
      </c>
      <c r="G494" s="1"/>
      <c r="L494" s="39" t="str">
        <f t="shared" si="30"/>
        <v/>
      </c>
      <c r="T494" s="39" t="str">
        <f t="shared" si="31"/>
        <v/>
      </c>
    </row>
    <row r="495" spans="4:20" x14ac:dyDescent="0.25">
      <c r="D495" s="38" t="str">
        <f t="shared" si="28"/>
        <v/>
      </c>
      <c r="E495" s="38" t="str">
        <f t="shared" si="29"/>
        <v/>
      </c>
      <c r="G495" s="1"/>
      <c r="L495" s="39" t="str">
        <f t="shared" si="30"/>
        <v/>
      </c>
      <c r="T495" s="39" t="str">
        <f t="shared" si="31"/>
        <v/>
      </c>
    </row>
    <row r="496" spans="4:20" x14ac:dyDescent="0.25">
      <c r="D496" s="38" t="str">
        <f t="shared" si="28"/>
        <v/>
      </c>
      <c r="E496" s="38" t="str">
        <f t="shared" si="29"/>
        <v/>
      </c>
      <c r="G496" s="1"/>
      <c r="L496" s="39" t="str">
        <f t="shared" si="30"/>
        <v/>
      </c>
      <c r="T496" s="39" t="str">
        <f t="shared" si="31"/>
        <v/>
      </c>
    </row>
    <row r="497" spans="4:20" x14ac:dyDescent="0.25">
      <c r="D497" s="38" t="str">
        <f t="shared" si="28"/>
        <v/>
      </c>
      <c r="E497" s="38" t="str">
        <f t="shared" si="29"/>
        <v/>
      </c>
      <c r="G497" s="1"/>
      <c r="L497" s="39" t="str">
        <f t="shared" si="30"/>
        <v/>
      </c>
      <c r="T497" s="39" t="str">
        <f t="shared" si="31"/>
        <v/>
      </c>
    </row>
    <row r="498" spans="4:20" x14ac:dyDescent="0.25">
      <c r="D498" s="38" t="str">
        <f t="shared" si="28"/>
        <v/>
      </c>
      <c r="E498" s="38" t="str">
        <f t="shared" si="29"/>
        <v/>
      </c>
      <c r="G498" s="1"/>
      <c r="L498" s="39" t="str">
        <f t="shared" si="30"/>
        <v/>
      </c>
      <c r="T498" s="39" t="str">
        <f t="shared" si="31"/>
        <v/>
      </c>
    </row>
    <row r="499" spans="4:20" x14ac:dyDescent="0.25">
      <c r="D499" s="38" t="str">
        <f t="shared" si="28"/>
        <v/>
      </c>
      <c r="E499" s="38" t="str">
        <f t="shared" si="29"/>
        <v/>
      </c>
      <c r="G499" s="1"/>
      <c r="L499" s="39" t="str">
        <f t="shared" si="30"/>
        <v/>
      </c>
      <c r="T499" s="39" t="str">
        <f t="shared" si="31"/>
        <v/>
      </c>
    </row>
    <row r="500" spans="4:20" x14ac:dyDescent="0.25">
      <c r="D500" s="38" t="str">
        <f t="shared" si="28"/>
        <v/>
      </c>
      <c r="E500" s="38" t="str">
        <f t="shared" si="29"/>
        <v/>
      </c>
      <c r="G500" s="1"/>
      <c r="L500" s="39" t="str">
        <f t="shared" si="30"/>
        <v/>
      </c>
      <c r="T500" s="39" t="str">
        <f t="shared" si="31"/>
        <v/>
      </c>
    </row>
    <row r="501" spans="4:20" x14ac:dyDescent="0.25">
      <c r="D501" s="38" t="str">
        <f t="shared" si="28"/>
        <v/>
      </c>
      <c r="E501" s="38" t="str">
        <f t="shared" si="29"/>
        <v/>
      </c>
      <c r="G501" s="1"/>
      <c r="L501" s="39" t="str">
        <f t="shared" si="30"/>
        <v/>
      </c>
      <c r="T501" s="39" t="str">
        <f t="shared" si="31"/>
        <v/>
      </c>
    </row>
    <row r="502" spans="4:20" x14ac:dyDescent="0.25">
      <c r="D502" s="38" t="str">
        <f t="shared" si="28"/>
        <v/>
      </c>
      <c r="E502" s="38" t="str">
        <f t="shared" si="29"/>
        <v/>
      </c>
      <c r="G502" s="1"/>
      <c r="L502" s="39" t="str">
        <f t="shared" si="30"/>
        <v/>
      </c>
      <c r="T502" s="39" t="str">
        <f t="shared" si="31"/>
        <v/>
      </c>
    </row>
    <row r="503" spans="4:20" x14ac:dyDescent="0.25">
      <c r="D503" s="38" t="str">
        <f t="shared" si="28"/>
        <v/>
      </c>
      <c r="E503" s="38" t="str">
        <f t="shared" si="29"/>
        <v/>
      </c>
      <c r="G503" s="1"/>
      <c r="L503" s="39" t="str">
        <f t="shared" si="30"/>
        <v/>
      </c>
      <c r="T503" s="39" t="str">
        <f t="shared" si="31"/>
        <v/>
      </c>
    </row>
    <row r="504" spans="4:20" x14ac:dyDescent="0.25">
      <c r="D504" s="38" t="str">
        <f t="shared" si="28"/>
        <v/>
      </c>
      <c r="E504" s="38" t="str">
        <f t="shared" si="29"/>
        <v/>
      </c>
      <c r="G504" s="1"/>
      <c r="L504" s="39" t="str">
        <f t="shared" si="30"/>
        <v/>
      </c>
      <c r="T504" s="39" t="str">
        <f t="shared" si="31"/>
        <v/>
      </c>
    </row>
    <row r="505" spans="4:20" x14ac:dyDescent="0.25">
      <c r="D505" s="38" t="str">
        <f t="shared" si="28"/>
        <v/>
      </c>
      <c r="E505" s="38" t="str">
        <f t="shared" si="29"/>
        <v/>
      </c>
      <c r="G505" s="1"/>
      <c r="L505" s="39" t="str">
        <f t="shared" si="30"/>
        <v/>
      </c>
      <c r="T505" s="39" t="str">
        <f t="shared" si="31"/>
        <v/>
      </c>
    </row>
    <row r="506" spans="4:20" x14ac:dyDescent="0.25">
      <c r="D506" s="38" t="str">
        <f t="shared" si="28"/>
        <v/>
      </c>
      <c r="E506" s="38" t="str">
        <f t="shared" si="29"/>
        <v/>
      </c>
      <c r="G506" s="1"/>
      <c r="L506" s="39" t="str">
        <f t="shared" si="30"/>
        <v/>
      </c>
      <c r="T506" s="39" t="str">
        <f t="shared" si="31"/>
        <v/>
      </c>
    </row>
    <row r="507" spans="4:20" x14ac:dyDescent="0.25">
      <c r="D507" s="38" t="str">
        <f t="shared" si="28"/>
        <v/>
      </c>
      <c r="E507" s="38" t="str">
        <f t="shared" si="29"/>
        <v/>
      </c>
      <c r="G507" s="1"/>
      <c r="L507" s="39" t="str">
        <f t="shared" si="30"/>
        <v/>
      </c>
      <c r="T507" s="39" t="str">
        <f t="shared" si="31"/>
        <v/>
      </c>
    </row>
    <row r="508" spans="4:20" x14ac:dyDescent="0.25">
      <c r="D508" s="38" t="str">
        <f t="shared" si="28"/>
        <v/>
      </c>
      <c r="E508" s="38" t="str">
        <f t="shared" si="29"/>
        <v/>
      </c>
      <c r="G508" s="1"/>
      <c r="L508" s="39" t="str">
        <f t="shared" si="30"/>
        <v/>
      </c>
      <c r="T508" s="39" t="str">
        <f t="shared" si="31"/>
        <v/>
      </c>
    </row>
    <row r="509" spans="4:20" x14ac:dyDescent="0.25">
      <c r="D509" s="38" t="str">
        <f t="shared" si="28"/>
        <v/>
      </c>
      <c r="E509" s="38" t="str">
        <f t="shared" si="29"/>
        <v/>
      </c>
      <c r="G509" s="1"/>
      <c r="L509" s="39" t="str">
        <f t="shared" si="30"/>
        <v/>
      </c>
      <c r="T509" s="39" t="str">
        <f t="shared" si="31"/>
        <v/>
      </c>
    </row>
    <row r="510" spans="4:20" x14ac:dyDescent="0.25">
      <c r="D510" s="38" t="str">
        <f t="shared" si="28"/>
        <v/>
      </c>
      <c r="E510" s="38" t="str">
        <f t="shared" si="29"/>
        <v/>
      </c>
      <c r="G510" s="1"/>
      <c r="L510" s="39" t="str">
        <f t="shared" si="30"/>
        <v/>
      </c>
      <c r="T510" s="39" t="str">
        <f t="shared" si="31"/>
        <v/>
      </c>
    </row>
    <row r="511" spans="4:20" x14ac:dyDescent="0.25">
      <c r="D511" s="38" t="str">
        <f t="shared" si="28"/>
        <v/>
      </c>
      <c r="E511" s="38" t="str">
        <f t="shared" si="29"/>
        <v/>
      </c>
      <c r="G511" s="1"/>
      <c r="L511" s="39" t="str">
        <f t="shared" si="30"/>
        <v/>
      </c>
      <c r="T511" s="39" t="str">
        <f t="shared" si="31"/>
        <v/>
      </c>
    </row>
    <row r="512" spans="4:20" x14ac:dyDescent="0.25">
      <c r="D512" s="38" t="str">
        <f t="shared" si="28"/>
        <v/>
      </c>
      <c r="E512" s="38" t="str">
        <f t="shared" si="29"/>
        <v/>
      </c>
      <c r="G512" s="1"/>
      <c r="L512" s="39" t="str">
        <f t="shared" si="30"/>
        <v/>
      </c>
      <c r="T512" s="39" t="str">
        <f t="shared" si="31"/>
        <v/>
      </c>
    </row>
    <row r="513" spans="4:20" x14ac:dyDescent="0.25">
      <c r="D513" s="38" t="str">
        <f t="shared" si="28"/>
        <v/>
      </c>
      <c r="E513" s="38" t="str">
        <f t="shared" si="29"/>
        <v/>
      </c>
      <c r="G513" s="1"/>
      <c r="L513" s="39" t="str">
        <f t="shared" si="30"/>
        <v/>
      </c>
      <c r="T513" s="39" t="str">
        <f t="shared" si="31"/>
        <v/>
      </c>
    </row>
    <row r="514" spans="4:20" x14ac:dyDescent="0.25">
      <c r="D514" s="38" t="str">
        <f t="shared" ref="D514:D577" si="32">IF($B514="", "", CHOOSE(MONTH($B514), "Gennaio","Febbraio","Marzo","Aprile","Maggio","Giugno","Luglio","Agosto","Settembre","Ottobre","Novembre","Dicembre"))</f>
        <v/>
      </c>
      <c r="E514" s="38" t="str">
        <f t="shared" ref="E514:E577" si="33">IF($B514="", "", CHOOSE(WEEKDAY($B514,2), "Lunedì","Martedì","Mercoledì","Giovedì","Venerdì","Sabato","Domenica"))</f>
        <v/>
      </c>
      <c r="G514" s="1"/>
      <c r="L514" s="39" t="str">
        <f t="shared" ref="L514:L577" si="34">IF($K514="Target", $G514*$H514, IF($K514="Stop Loss", -$G514, IF($K514="Breakeven", 0, "")))</f>
        <v/>
      </c>
      <c r="T514" s="39" t="str">
        <f t="shared" si="31"/>
        <v/>
      </c>
    </row>
    <row r="515" spans="4:20" x14ac:dyDescent="0.25">
      <c r="D515" s="38" t="str">
        <f t="shared" si="32"/>
        <v/>
      </c>
      <c r="E515" s="38" t="str">
        <f t="shared" si="33"/>
        <v/>
      </c>
      <c r="G515" s="1"/>
      <c r="L515" s="39" t="str">
        <f t="shared" si="34"/>
        <v/>
      </c>
      <c r="T515" s="39" t="str">
        <f t="shared" ref="T515:T578" si="35">IF($L515="", "", $T514 + $L515)</f>
        <v/>
      </c>
    </row>
    <row r="516" spans="4:20" x14ac:dyDescent="0.25">
      <c r="D516" s="38" t="str">
        <f t="shared" si="32"/>
        <v/>
      </c>
      <c r="E516" s="38" t="str">
        <f t="shared" si="33"/>
        <v/>
      </c>
      <c r="G516" s="1"/>
      <c r="L516" s="39" t="str">
        <f t="shared" si="34"/>
        <v/>
      </c>
      <c r="T516" s="39" t="str">
        <f t="shared" si="35"/>
        <v/>
      </c>
    </row>
    <row r="517" spans="4:20" x14ac:dyDescent="0.25">
      <c r="D517" s="38" t="str">
        <f t="shared" si="32"/>
        <v/>
      </c>
      <c r="E517" s="38" t="str">
        <f t="shared" si="33"/>
        <v/>
      </c>
      <c r="G517" s="1"/>
      <c r="L517" s="39" t="str">
        <f t="shared" si="34"/>
        <v/>
      </c>
      <c r="T517" s="39" t="str">
        <f t="shared" si="35"/>
        <v/>
      </c>
    </row>
    <row r="518" spans="4:20" x14ac:dyDescent="0.25">
      <c r="D518" s="38" t="str">
        <f t="shared" si="32"/>
        <v/>
      </c>
      <c r="E518" s="38" t="str">
        <f t="shared" si="33"/>
        <v/>
      </c>
      <c r="G518" s="1"/>
      <c r="L518" s="39" t="str">
        <f t="shared" si="34"/>
        <v/>
      </c>
      <c r="T518" s="39" t="str">
        <f t="shared" si="35"/>
        <v/>
      </c>
    </row>
    <row r="519" spans="4:20" x14ac:dyDescent="0.25">
      <c r="D519" s="38" t="str">
        <f t="shared" si="32"/>
        <v/>
      </c>
      <c r="E519" s="38" t="str">
        <f t="shared" si="33"/>
        <v/>
      </c>
      <c r="G519" s="1"/>
      <c r="L519" s="39" t="str">
        <f t="shared" si="34"/>
        <v/>
      </c>
      <c r="T519" s="39" t="str">
        <f t="shared" si="35"/>
        <v/>
      </c>
    </row>
    <row r="520" spans="4:20" x14ac:dyDescent="0.25">
      <c r="D520" s="38" t="str">
        <f t="shared" si="32"/>
        <v/>
      </c>
      <c r="E520" s="38" t="str">
        <f t="shared" si="33"/>
        <v/>
      </c>
      <c r="G520" s="1"/>
      <c r="L520" s="39" t="str">
        <f t="shared" si="34"/>
        <v/>
      </c>
      <c r="T520" s="39" t="str">
        <f t="shared" si="35"/>
        <v/>
      </c>
    </row>
    <row r="521" spans="4:20" x14ac:dyDescent="0.25">
      <c r="D521" s="38" t="str">
        <f t="shared" si="32"/>
        <v/>
      </c>
      <c r="E521" s="38" t="str">
        <f t="shared" si="33"/>
        <v/>
      </c>
      <c r="G521" s="1"/>
      <c r="L521" s="39" t="str">
        <f t="shared" si="34"/>
        <v/>
      </c>
      <c r="T521" s="39" t="str">
        <f t="shared" si="35"/>
        <v/>
      </c>
    </row>
    <row r="522" spans="4:20" x14ac:dyDescent="0.25">
      <c r="D522" s="38" t="str">
        <f t="shared" si="32"/>
        <v/>
      </c>
      <c r="E522" s="38" t="str">
        <f t="shared" si="33"/>
        <v/>
      </c>
      <c r="G522" s="1"/>
      <c r="L522" s="39" t="str">
        <f t="shared" si="34"/>
        <v/>
      </c>
      <c r="T522" s="39" t="str">
        <f t="shared" si="35"/>
        <v/>
      </c>
    </row>
    <row r="523" spans="4:20" x14ac:dyDescent="0.25">
      <c r="D523" s="38" t="str">
        <f t="shared" si="32"/>
        <v/>
      </c>
      <c r="E523" s="38" t="str">
        <f t="shared" si="33"/>
        <v/>
      </c>
      <c r="G523" s="1"/>
      <c r="L523" s="39" t="str">
        <f t="shared" si="34"/>
        <v/>
      </c>
      <c r="T523" s="39" t="str">
        <f t="shared" si="35"/>
        <v/>
      </c>
    </row>
    <row r="524" spans="4:20" x14ac:dyDescent="0.25">
      <c r="D524" s="38" t="str">
        <f t="shared" si="32"/>
        <v/>
      </c>
      <c r="E524" s="38" t="str">
        <f t="shared" si="33"/>
        <v/>
      </c>
      <c r="G524" s="1"/>
      <c r="L524" s="39" t="str">
        <f t="shared" si="34"/>
        <v/>
      </c>
      <c r="T524" s="39" t="str">
        <f t="shared" si="35"/>
        <v/>
      </c>
    </row>
    <row r="525" spans="4:20" x14ac:dyDescent="0.25">
      <c r="D525" s="38" t="str">
        <f t="shared" si="32"/>
        <v/>
      </c>
      <c r="E525" s="38" t="str">
        <f t="shared" si="33"/>
        <v/>
      </c>
      <c r="G525" s="1"/>
      <c r="L525" s="39" t="str">
        <f t="shared" si="34"/>
        <v/>
      </c>
      <c r="T525" s="39" t="str">
        <f t="shared" si="35"/>
        <v/>
      </c>
    </row>
    <row r="526" spans="4:20" x14ac:dyDescent="0.25">
      <c r="D526" s="38" t="str">
        <f t="shared" si="32"/>
        <v/>
      </c>
      <c r="E526" s="38" t="str">
        <f t="shared" si="33"/>
        <v/>
      </c>
      <c r="G526" s="1"/>
      <c r="L526" s="39" t="str">
        <f t="shared" si="34"/>
        <v/>
      </c>
      <c r="T526" s="39" t="str">
        <f t="shared" si="35"/>
        <v/>
      </c>
    </row>
    <row r="527" spans="4:20" x14ac:dyDescent="0.25">
      <c r="D527" s="38" t="str">
        <f t="shared" si="32"/>
        <v/>
      </c>
      <c r="E527" s="38" t="str">
        <f t="shared" si="33"/>
        <v/>
      </c>
      <c r="G527" s="1"/>
      <c r="L527" s="39" t="str">
        <f t="shared" si="34"/>
        <v/>
      </c>
      <c r="T527" s="39" t="str">
        <f t="shared" si="35"/>
        <v/>
      </c>
    </row>
    <row r="528" spans="4:20" x14ac:dyDescent="0.25">
      <c r="D528" s="38" t="str">
        <f t="shared" si="32"/>
        <v/>
      </c>
      <c r="E528" s="38" t="str">
        <f t="shared" si="33"/>
        <v/>
      </c>
      <c r="G528" s="1"/>
      <c r="L528" s="39" t="str">
        <f t="shared" si="34"/>
        <v/>
      </c>
      <c r="T528" s="39" t="str">
        <f t="shared" si="35"/>
        <v/>
      </c>
    </row>
    <row r="529" spans="4:20" x14ac:dyDescent="0.25">
      <c r="D529" s="38" t="str">
        <f t="shared" si="32"/>
        <v/>
      </c>
      <c r="E529" s="38" t="str">
        <f t="shared" si="33"/>
        <v/>
      </c>
      <c r="G529" s="1"/>
      <c r="L529" s="39" t="str">
        <f t="shared" si="34"/>
        <v/>
      </c>
      <c r="T529" s="39" t="str">
        <f t="shared" si="35"/>
        <v/>
      </c>
    </row>
    <row r="530" spans="4:20" x14ac:dyDescent="0.25">
      <c r="D530" s="38" t="str">
        <f t="shared" si="32"/>
        <v/>
      </c>
      <c r="E530" s="38" t="str">
        <f t="shared" si="33"/>
        <v/>
      </c>
      <c r="G530" s="1"/>
      <c r="L530" s="39" t="str">
        <f t="shared" si="34"/>
        <v/>
      </c>
      <c r="T530" s="39" t="str">
        <f t="shared" si="35"/>
        <v/>
      </c>
    </row>
    <row r="531" spans="4:20" x14ac:dyDescent="0.25">
      <c r="D531" s="38" t="str">
        <f t="shared" si="32"/>
        <v/>
      </c>
      <c r="E531" s="38" t="str">
        <f t="shared" si="33"/>
        <v/>
      </c>
      <c r="G531" s="1"/>
      <c r="L531" s="39" t="str">
        <f t="shared" si="34"/>
        <v/>
      </c>
      <c r="T531" s="39" t="str">
        <f t="shared" si="35"/>
        <v/>
      </c>
    </row>
    <row r="532" spans="4:20" x14ac:dyDescent="0.25">
      <c r="D532" s="38" t="str">
        <f t="shared" si="32"/>
        <v/>
      </c>
      <c r="E532" s="38" t="str">
        <f t="shared" si="33"/>
        <v/>
      </c>
      <c r="G532" s="1"/>
      <c r="L532" s="39" t="str">
        <f t="shared" si="34"/>
        <v/>
      </c>
      <c r="T532" s="39" t="str">
        <f t="shared" si="35"/>
        <v/>
      </c>
    </row>
    <row r="533" spans="4:20" x14ac:dyDescent="0.25">
      <c r="D533" s="38" t="str">
        <f t="shared" si="32"/>
        <v/>
      </c>
      <c r="E533" s="38" t="str">
        <f t="shared" si="33"/>
        <v/>
      </c>
      <c r="G533" s="1"/>
      <c r="L533" s="39" t="str">
        <f t="shared" si="34"/>
        <v/>
      </c>
      <c r="T533" s="39" t="str">
        <f t="shared" si="35"/>
        <v/>
      </c>
    </row>
    <row r="534" spans="4:20" x14ac:dyDescent="0.25">
      <c r="D534" s="38" t="str">
        <f t="shared" si="32"/>
        <v/>
      </c>
      <c r="E534" s="38" t="str">
        <f t="shared" si="33"/>
        <v/>
      </c>
      <c r="G534" s="1"/>
      <c r="L534" s="39" t="str">
        <f t="shared" si="34"/>
        <v/>
      </c>
      <c r="T534" s="39" t="str">
        <f t="shared" si="35"/>
        <v/>
      </c>
    </row>
    <row r="535" spans="4:20" x14ac:dyDescent="0.25">
      <c r="D535" s="38" t="str">
        <f t="shared" si="32"/>
        <v/>
      </c>
      <c r="E535" s="38" t="str">
        <f t="shared" si="33"/>
        <v/>
      </c>
      <c r="G535" s="1"/>
      <c r="L535" s="39" t="str">
        <f t="shared" si="34"/>
        <v/>
      </c>
      <c r="T535" s="39" t="str">
        <f t="shared" si="35"/>
        <v/>
      </c>
    </row>
    <row r="536" spans="4:20" x14ac:dyDescent="0.25">
      <c r="D536" s="38" t="str">
        <f t="shared" si="32"/>
        <v/>
      </c>
      <c r="E536" s="38" t="str">
        <f t="shared" si="33"/>
        <v/>
      </c>
      <c r="G536" s="1"/>
      <c r="L536" s="39" t="str">
        <f t="shared" si="34"/>
        <v/>
      </c>
      <c r="T536" s="39" t="str">
        <f t="shared" si="35"/>
        <v/>
      </c>
    </row>
    <row r="537" spans="4:20" x14ac:dyDescent="0.25">
      <c r="D537" s="38" t="str">
        <f t="shared" si="32"/>
        <v/>
      </c>
      <c r="E537" s="38" t="str">
        <f t="shared" si="33"/>
        <v/>
      </c>
      <c r="G537" s="1"/>
      <c r="L537" s="39" t="str">
        <f t="shared" si="34"/>
        <v/>
      </c>
      <c r="T537" s="39" t="str">
        <f t="shared" si="35"/>
        <v/>
      </c>
    </row>
    <row r="538" spans="4:20" x14ac:dyDescent="0.25">
      <c r="D538" s="38" t="str">
        <f t="shared" si="32"/>
        <v/>
      </c>
      <c r="E538" s="38" t="str">
        <f t="shared" si="33"/>
        <v/>
      </c>
      <c r="G538" s="1"/>
      <c r="L538" s="39" t="str">
        <f t="shared" si="34"/>
        <v/>
      </c>
      <c r="T538" s="39" t="str">
        <f t="shared" si="35"/>
        <v/>
      </c>
    </row>
    <row r="539" spans="4:20" x14ac:dyDescent="0.25">
      <c r="D539" s="38" t="str">
        <f t="shared" si="32"/>
        <v/>
      </c>
      <c r="E539" s="38" t="str">
        <f t="shared" si="33"/>
        <v/>
      </c>
      <c r="G539" s="1"/>
      <c r="L539" s="39" t="str">
        <f t="shared" si="34"/>
        <v/>
      </c>
      <c r="T539" s="39" t="str">
        <f t="shared" si="35"/>
        <v/>
      </c>
    </row>
    <row r="540" spans="4:20" x14ac:dyDescent="0.25">
      <c r="D540" s="38" t="str">
        <f t="shared" si="32"/>
        <v/>
      </c>
      <c r="E540" s="38" t="str">
        <f t="shared" si="33"/>
        <v/>
      </c>
      <c r="G540" s="1"/>
      <c r="L540" s="39" t="str">
        <f t="shared" si="34"/>
        <v/>
      </c>
      <c r="T540" s="39" t="str">
        <f t="shared" si="35"/>
        <v/>
      </c>
    </row>
    <row r="541" spans="4:20" x14ac:dyDescent="0.25">
      <c r="D541" s="38" t="str">
        <f t="shared" si="32"/>
        <v/>
      </c>
      <c r="E541" s="38" t="str">
        <f t="shared" si="33"/>
        <v/>
      </c>
      <c r="G541" s="1"/>
      <c r="L541" s="39" t="str">
        <f t="shared" si="34"/>
        <v/>
      </c>
      <c r="T541" s="39" t="str">
        <f t="shared" si="35"/>
        <v/>
      </c>
    </row>
    <row r="542" spans="4:20" x14ac:dyDescent="0.25">
      <c r="D542" s="38" t="str">
        <f t="shared" si="32"/>
        <v/>
      </c>
      <c r="E542" s="38" t="str">
        <f t="shared" si="33"/>
        <v/>
      </c>
      <c r="G542" s="1"/>
      <c r="L542" s="39" t="str">
        <f t="shared" si="34"/>
        <v/>
      </c>
      <c r="T542" s="39" t="str">
        <f t="shared" si="35"/>
        <v/>
      </c>
    </row>
    <row r="543" spans="4:20" x14ac:dyDescent="0.25">
      <c r="D543" s="38" t="str">
        <f t="shared" si="32"/>
        <v/>
      </c>
      <c r="E543" s="38" t="str">
        <f t="shared" si="33"/>
        <v/>
      </c>
      <c r="G543" s="1"/>
      <c r="L543" s="39" t="str">
        <f t="shared" si="34"/>
        <v/>
      </c>
      <c r="T543" s="39" t="str">
        <f t="shared" si="35"/>
        <v/>
      </c>
    </row>
    <row r="544" spans="4:20" x14ac:dyDescent="0.25">
      <c r="D544" s="38" t="str">
        <f t="shared" si="32"/>
        <v/>
      </c>
      <c r="E544" s="38" t="str">
        <f t="shared" si="33"/>
        <v/>
      </c>
      <c r="G544" s="1"/>
      <c r="L544" s="39" t="str">
        <f t="shared" si="34"/>
        <v/>
      </c>
      <c r="T544" s="39" t="str">
        <f t="shared" si="35"/>
        <v/>
      </c>
    </row>
    <row r="545" spans="4:20" x14ac:dyDescent="0.25">
      <c r="D545" s="38" t="str">
        <f t="shared" si="32"/>
        <v/>
      </c>
      <c r="E545" s="38" t="str">
        <f t="shared" si="33"/>
        <v/>
      </c>
      <c r="G545" s="1"/>
      <c r="L545" s="39" t="str">
        <f t="shared" si="34"/>
        <v/>
      </c>
      <c r="T545" s="39" t="str">
        <f t="shared" si="35"/>
        <v/>
      </c>
    </row>
    <row r="546" spans="4:20" x14ac:dyDescent="0.25">
      <c r="D546" s="38" t="str">
        <f t="shared" si="32"/>
        <v/>
      </c>
      <c r="E546" s="38" t="str">
        <f t="shared" si="33"/>
        <v/>
      </c>
      <c r="G546" s="1"/>
      <c r="L546" s="39" t="str">
        <f t="shared" si="34"/>
        <v/>
      </c>
      <c r="T546" s="39" t="str">
        <f t="shared" si="35"/>
        <v/>
      </c>
    </row>
    <row r="547" spans="4:20" x14ac:dyDescent="0.25">
      <c r="D547" s="38" t="str">
        <f t="shared" si="32"/>
        <v/>
      </c>
      <c r="E547" s="38" t="str">
        <f t="shared" si="33"/>
        <v/>
      </c>
      <c r="G547" s="1"/>
      <c r="L547" s="39" t="str">
        <f t="shared" si="34"/>
        <v/>
      </c>
      <c r="T547" s="39" t="str">
        <f t="shared" si="35"/>
        <v/>
      </c>
    </row>
    <row r="548" spans="4:20" x14ac:dyDescent="0.25">
      <c r="D548" s="38" t="str">
        <f t="shared" si="32"/>
        <v/>
      </c>
      <c r="E548" s="38" t="str">
        <f t="shared" si="33"/>
        <v/>
      </c>
      <c r="G548" s="1"/>
      <c r="L548" s="39" t="str">
        <f t="shared" si="34"/>
        <v/>
      </c>
      <c r="T548" s="39" t="str">
        <f t="shared" si="35"/>
        <v/>
      </c>
    </row>
    <row r="549" spans="4:20" x14ac:dyDescent="0.25">
      <c r="D549" s="38" t="str">
        <f t="shared" si="32"/>
        <v/>
      </c>
      <c r="E549" s="38" t="str">
        <f t="shared" si="33"/>
        <v/>
      </c>
      <c r="G549" s="1"/>
      <c r="L549" s="39" t="str">
        <f t="shared" si="34"/>
        <v/>
      </c>
      <c r="T549" s="39" t="str">
        <f t="shared" si="35"/>
        <v/>
      </c>
    </row>
    <row r="550" spans="4:20" x14ac:dyDescent="0.25">
      <c r="D550" s="38" t="str">
        <f t="shared" si="32"/>
        <v/>
      </c>
      <c r="E550" s="38" t="str">
        <f t="shared" si="33"/>
        <v/>
      </c>
      <c r="G550" s="1"/>
      <c r="L550" s="39" t="str">
        <f t="shared" si="34"/>
        <v/>
      </c>
      <c r="T550" s="39" t="str">
        <f t="shared" si="35"/>
        <v/>
      </c>
    </row>
    <row r="551" spans="4:20" x14ac:dyDescent="0.25">
      <c r="D551" s="38" t="str">
        <f t="shared" si="32"/>
        <v/>
      </c>
      <c r="E551" s="38" t="str">
        <f t="shared" si="33"/>
        <v/>
      </c>
      <c r="G551" s="1"/>
      <c r="L551" s="39" t="str">
        <f t="shared" si="34"/>
        <v/>
      </c>
      <c r="T551" s="39" t="str">
        <f t="shared" si="35"/>
        <v/>
      </c>
    </row>
    <row r="552" spans="4:20" x14ac:dyDescent="0.25">
      <c r="D552" s="38" t="str">
        <f t="shared" si="32"/>
        <v/>
      </c>
      <c r="E552" s="38" t="str">
        <f t="shared" si="33"/>
        <v/>
      </c>
      <c r="G552" s="1"/>
      <c r="L552" s="39" t="str">
        <f t="shared" si="34"/>
        <v/>
      </c>
      <c r="T552" s="39" t="str">
        <f t="shared" si="35"/>
        <v/>
      </c>
    </row>
    <row r="553" spans="4:20" x14ac:dyDescent="0.25">
      <c r="D553" s="38" t="str">
        <f t="shared" si="32"/>
        <v/>
      </c>
      <c r="E553" s="38" t="str">
        <f t="shared" si="33"/>
        <v/>
      </c>
      <c r="G553" s="1"/>
      <c r="L553" s="39" t="str">
        <f t="shared" si="34"/>
        <v/>
      </c>
      <c r="T553" s="39" t="str">
        <f t="shared" si="35"/>
        <v/>
      </c>
    </row>
    <row r="554" spans="4:20" x14ac:dyDescent="0.25">
      <c r="D554" s="38" t="str">
        <f t="shared" si="32"/>
        <v/>
      </c>
      <c r="E554" s="38" t="str">
        <f t="shared" si="33"/>
        <v/>
      </c>
      <c r="G554" s="1"/>
      <c r="L554" s="39" t="str">
        <f t="shared" si="34"/>
        <v/>
      </c>
      <c r="T554" s="39" t="str">
        <f t="shared" si="35"/>
        <v/>
      </c>
    </row>
    <row r="555" spans="4:20" x14ac:dyDescent="0.25">
      <c r="D555" s="38" t="str">
        <f t="shared" si="32"/>
        <v/>
      </c>
      <c r="E555" s="38" t="str">
        <f t="shared" si="33"/>
        <v/>
      </c>
      <c r="G555" s="1"/>
      <c r="L555" s="39" t="str">
        <f t="shared" si="34"/>
        <v/>
      </c>
      <c r="T555" s="39" t="str">
        <f t="shared" si="35"/>
        <v/>
      </c>
    </row>
    <row r="556" spans="4:20" x14ac:dyDescent="0.25">
      <c r="D556" s="38" t="str">
        <f t="shared" si="32"/>
        <v/>
      </c>
      <c r="E556" s="38" t="str">
        <f t="shared" si="33"/>
        <v/>
      </c>
      <c r="G556" s="1"/>
      <c r="L556" s="39" t="str">
        <f t="shared" si="34"/>
        <v/>
      </c>
      <c r="T556" s="39" t="str">
        <f t="shared" si="35"/>
        <v/>
      </c>
    </row>
    <row r="557" spans="4:20" x14ac:dyDescent="0.25">
      <c r="D557" s="38" t="str">
        <f t="shared" si="32"/>
        <v/>
      </c>
      <c r="E557" s="38" t="str">
        <f t="shared" si="33"/>
        <v/>
      </c>
      <c r="G557" s="1"/>
      <c r="L557" s="39" t="str">
        <f t="shared" si="34"/>
        <v/>
      </c>
      <c r="T557" s="39" t="str">
        <f t="shared" si="35"/>
        <v/>
      </c>
    </row>
    <row r="558" spans="4:20" x14ac:dyDescent="0.25">
      <c r="D558" s="38" t="str">
        <f t="shared" si="32"/>
        <v/>
      </c>
      <c r="E558" s="38" t="str">
        <f t="shared" si="33"/>
        <v/>
      </c>
      <c r="G558" s="1"/>
      <c r="L558" s="39" t="str">
        <f t="shared" si="34"/>
        <v/>
      </c>
      <c r="T558" s="39" t="str">
        <f t="shared" si="35"/>
        <v/>
      </c>
    </row>
    <row r="559" spans="4:20" x14ac:dyDescent="0.25">
      <c r="D559" s="38" t="str">
        <f t="shared" si="32"/>
        <v/>
      </c>
      <c r="E559" s="38" t="str">
        <f t="shared" si="33"/>
        <v/>
      </c>
      <c r="G559" s="1"/>
      <c r="L559" s="39" t="str">
        <f t="shared" si="34"/>
        <v/>
      </c>
      <c r="T559" s="39" t="str">
        <f t="shared" si="35"/>
        <v/>
      </c>
    </row>
    <row r="560" spans="4:20" x14ac:dyDescent="0.25">
      <c r="D560" s="38" t="str">
        <f t="shared" si="32"/>
        <v/>
      </c>
      <c r="E560" s="38" t="str">
        <f t="shared" si="33"/>
        <v/>
      </c>
      <c r="G560" s="1"/>
      <c r="L560" s="39" t="str">
        <f t="shared" si="34"/>
        <v/>
      </c>
      <c r="T560" s="39" t="str">
        <f t="shared" si="35"/>
        <v/>
      </c>
    </row>
    <row r="561" spans="4:20" x14ac:dyDescent="0.25">
      <c r="D561" s="38" t="str">
        <f t="shared" si="32"/>
        <v/>
      </c>
      <c r="E561" s="38" t="str">
        <f t="shared" si="33"/>
        <v/>
      </c>
      <c r="G561" s="1"/>
      <c r="L561" s="39" t="str">
        <f t="shared" si="34"/>
        <v/>
      </c>
      <c r="T561" s="39" t="str">
        <f t="shared" si="35"/>
        <v/>
      </c>
    </row>
    <row r="562" spans="4:20" x14ac:dyDescent="0.25">
      <c r="D562" s="38" t="str">
        <f t="shared" si="32"/>
        <v/>
      </c>
      <c r="E562" s="38" t="str">
        <f t="shared" si="33"/>
        <v/>
      </c>
      <c r="G562" s="1"/>
      <c r="L562" s="39" t="str">
        <f t="shared" si="34"/>
        <v/>
      </c>
      <c r="T562" s="39" t="str">
        <f t="shared" si="35"/>
        <v/>
      </c>
    </row>
    <row r="563" spans="4:20" x14ac:dyDescent="0.25">
      <c r="D563" s="38" t="str">
        <f t="shared" si="32"/>
        <v/>
      </c>
      <c r="E563" s="38" t="str">
        <f t="shared" si="33"/>
        <v/>
      </c>
      <c r="G563" s="1"/>
      <c r="L563" s="39" t="str">
        <f t="shared" si="34"/>
        <v/>
      </c>
      <c r="T563" s="39" t="str">
        <f t="shared" si="35"/>
        <v/>
      </c>
    </row>
    <row r="564" spans="4:20" x14ac:dyDescent="0.25">
      <c r="D564" s="38" t="str">
        <f t="shared" si="32"/>
        <v/>
      </c>
      <c r="E564" s="38" t="str">
        <f t="shared" si="33"/>
        <v/>
      </c>
      <c r="G564" s="1"/>
      <c r="L564" s="39" t="str">
        <f t="shared" si="34"/>
        <v/>
      </c>
      <c r="T564" s="39" t="str">
        <f t="shared" si="35"/>
        <v/>
      </c>
    </row>
    <row r="565" spans="4:20" x14ac:dyDescent="0.25">
      <c r="D565" s="38" t="str">
        <f t="shared" si="32"/>
        <v/>
      </c>
      <c r="E565" s="38" t="str">
        <f t="shared" si="33"/>
        <v/>
      </c>
      <c r="G565" s="1"/>
      <c r="L565" s="39" t="str">
        <f t="shared" si="34"/>
        <v/>
      </c>
      <c r="T565" s="39" t="str">
        <f t="shared" si="35"/>
        <v/>
      </c>
    </row>
    <row r="566" spans="4:20" x14ac:dyDescent="0.25">
      <c r="D566" s="38" t="str">
        <f t="shared" si="32"/>
        <v/>
      </c>
      <c r="E566" s="38" t="str">
        <f t="shared" si="33"/>
        <v/>
      </c>
      <c r="G566" s="1"/>
      <c r="L566" s="39" t="str">
        <f t="shared" si="34"/>
        <v/>
      </c>
      <c r="T566" s="39" t="str">
        <f t="shared" si="35"/>
        <v/>
      </c>
    </row>
    <row r="567" spans="4:20" x14ac:dyDescent="0.25">
      <c r="D567" s="38" t="str">
        <f t="shared" si="32"/>
        <v/>
      </c>
      <c r="E567" s="38" t="str">
        <f t="shared" si="33"/>
        <v/>
      </c>
      <c r="G567" s="1"/>
      <c r="L567" s="39" t="str">
        <f t="shared" si="34"/>
        <v/>
      </c>
      <c r="T567" s="39" t="str">
        <f t="shared" si="35"/>
        <v/>
      </c>
    </row>
    <row r="568" spans="4:20" x14ac:dyDescent="0.25">
      <c r="D568" s="38" t="str">
        <f t="shared" si="32"/>
        <v/>
      </c>
      <c r="E568" s="38" t="str">
        <f t="shared" si="33"/>
        <v/>
      </c>
      <c r="G568" s="1"/>
      <c r="L568" s="39" t="str">
        <f t="shared" si="34"/>
        <v/>
      </c>
      <c r="T568" s="39" t="str">
        <f t="shared" si="35"/>
        <v/>
      </c>
    </row>
    <row r="569" spans="4:20" x14ac:dyDescent="0.25">
      <c r="D569" s="38" t="str">
        <f t="shared" si="32"/>
        <v/>
      </c>
      <c r="E569" s="38" t="str">
        <f t="shared" si="33"/>
        <v/>
      </c>
      <c r="G569" s="1"/>
      <c r="L569" s="39" t="str">
        <f t="shared" si="34"/>
        <v/>
      </c>
      <c r="T569" s="39" t="str">
        <f t="shared" si="35"/>
        <v/>
      </c>
    </row>
    <row r="570" spans="4:20" x14ac:dyDescent="0.25">
      <c r="D570" s="38" t="str">
        <f t="shared" si="32"/>
        <v/>
      </c>
      <c r="E570" s="38" t="str">
        <f t="shared" si="33"/>
        <v/>
      </c>
      <c r="G570" s="1"/>
      <c r="L570" s="39" t="str">
        <f t="shared" si="34"/>
        <v/>
      </c>
      <c r="T570" s="39" t="str">
        <f t="shared" si="35"/>
        <v/>
      </c>
    </row>
    <row r="571" spans="4:20" x14ac:dyDescent="0.25">
      <c r="D571" s="38" t="str">
        <f t="shared" si="32"/>
        <v/>
      </c>
      <c r="E571" s="38" t="str">
        <f t="shared" si="33"/>
        <v/>
      </c>
      <c r="G571" s="1"/>
      <c r="L571" s="39" t="str">
        <f t="shared" si="34"/>
        <v/>
      </c>
      <c r="T571" s="39" t="str">
        <f t="shared" si="35"/>
        <v/>
      </c>
    </row>
    <row r="572" spans="4:20" x14ac:dyDescent="0.25">
      <c r="D572" s="38" t="str">
        <f t="shared" si="32"/>
        <v/>
      </c>
      <c r="E572" s="38" t="str">
        <f t="shared" si="33"/>
        <v/>
      </c>
      <c r="G572" s="1"/>
      <c r="L572" s="39" t="str">
        <f t="shared" si="34"/>
        <v/>
      </c>
      <c r="T572" s="39" t="str">
        <f t="shared" si="35"/>
        <v/>
      </c>
    </row>
    <row r="573" spans="4:20" x14ac:dyDescent="0.25">
      <c r="D573" s="38" t="str">
        <f t="shared" si="32"/>
        <v/>
      </c>
      <c r="E573" s="38" t="str">
        <f t="shared" si="33"/>
        <v/>
      </c>
      <c r="G573" s="1"/>
      <c r="L573" s="39" t="str">
        <f t="shared" si="34"/>
        <v/>
      </c>
      <c r="T573" s="39" t="str">
        <f t="shared" si="35"/>
        <v/>
      </c>
    </row>
    <row r="574" spans="4:20" x14ac:dyDescent="0.25">
      <c r="D574" s="38" t="str">
        <f t="shared" si="32"/>
        <v/>
      </c>
      <c r="E574" s="38" t="str">
        <f t="shared" si="33"/>
        <v/>
      </c>
      <c r="G574" s="1"/>
      <c r="L574" s="39" t="str">
        <f t="shared" si="34"/>
        <v/>
      </c>
      <c r="T574" s="39" t="str">
        <f t="shared" si="35"/>
        <v/>
      </c>
    </row>
    <row r="575" spans="4:20" x14ac:dyDescent="0.25">
      <c r="D575" s="38" t="str">
        <f t="shared" si="32"/>
        <v/>
      </c>
      <c r="E575" s="38" t="str">
        <f t="shared" si="33"/>
        <v/>
      </c>
      <c r="G575" s="1"/>
      <c r="L575" s="39" t="str">
        <f t="shared" si="34"/>
        <v/>
      </c>
      <c r="T575" s="39" t="str">
        <f t="shared" si="35"/>
        <v/>
      </c>
    </row>
    <row r="576" spans="4:20" x14ac:dyDescent="0.25">
      <c r="D576" s="38" t="str">
        <f t="shared" si="32"/>
        <v/>
      </c>
      <c r="E576" s="38" t="str">
        <f t="shared" si="33"/>
        <v/>
      </c>
      <c r="G576" s="1"/>
      <c r="L576" s="39" t="str">
        <f t="shared" si="34"/>
        <v/>
      </c>
      <c r="T576" s="39" t="str">
        <f t="shared" si="35"/>
        <v/>
      </c>
    </row>
    <row r="577" spans="4:20" x14ac:dyDescent="0.25">
      <c r="D577" s="38" t="str">
        <f t="shared" si="32"/>
        <v/>
      </c>
      <c r="E577" s="38" t="str">
        <f t="shared" si="33"/>
        <v/>
      </c>
      <c r="G577" s="1"/>
      <c r="L577" s="39" t="str">
        <f t="shared" si="34"/>
        <v/>
      </c>
      <c r="T577" s="39" t="str">
        <f t="shared" si="35"/>
        <v/>
      </c>
    </row>
    <row r="578" spans="4:20" x14ac:dyDescent="0.25">
      <c r="D578" s="38" t="str">
        <f t="shared" ref="D578:D641" si="36">IF($B578="", "", CHOOSE(MONTH($B578), "Gennaio","Febbraio","Marzo","Aprile","Maggio","Giugno","Luglio","Agosto","Settembre","Ottobre","Novembre","Dicembre"))</f>
        <v/>
      </c>
      <c r="E578" s="38" t="str">
        <f t="shared" ref="E578:E641" si="37">IF($B578="", "", CHOOSE(WEEKDAY($B578,2), "Lunedì","Martedì","Mercoledì","Giovedì","Venerdì","Sabato","Domenica"))</f>
        <v/>
      </c>
      <c r="G578" s="1"/>
      <c r="L578" s="39" t="str">
        <f t="shared" ref="L578:L641" si="38">IF($K578="Target", $G578*$H578, IF($K578="Stop Loss", -$G578, IF($K578="Breakeven", 0, "")))</f>
        <v/>
      </c>
      <c r="T578" s="39" t="str">
        <f t="shared" si="35"/>
        <v/>
      </c>
    </row>
    <row r="579" spans="4:20" x14ac:dyDescent="0.25">
      <c r="D579" s="38" t="str">
        <f t="shared" si="36"/>
        <v/>
      </c>
      <c r="E579" s="38" t="str">
        <f t="shared" si="37"/>
        <v/>
      </c>
      <c r="G579" s="1"/>
      <c r="L579" s="39" t="str">
        <f t="shared" si="38"/>
        <v/>
      </c>
      <c r="T579" s="39" t="str">
        <f t="shared" ref="T579:T642" si="39">IF($L579="", "", $T578 + $L579)</f>
        <v/>
      </c>
    </row>
    <row r="580" spans="4:20" x14ac:dyDescent="0.25">
      <c r="D580" s="38" t="str">
        <f t="shared" si="36"/>
        <v/>
      </c>
      <c r="E580" s="38" t="str">
        <f t="shared" si="37"/>
        <v/>
      </c>
      <c r="G580" s="1"/>
      <c r="L580" s="39" t="str">
        <f t="shared" si="38"/>
        <v/>
      </c>
      <c r="T580" s="39" t="str">
        <f t="shared" si="39"/>
        <v/>
      </c>
    </row>
    <row r="581" spans="4:20" x14ac:dyDescent="0.25">
      <c r="D581" s="38" t="str">
        <f t="shared" si="36"/>
        <v/>
      </c>
      <c r="E581" s="38" t="str">
        <f t="shared" si="37"/>
        <v/>
      </c>
      <c r="G581" s="1"/>
      <c r="L581" s="39" t="str">
        <f t="shared" si="38"/>
        <v/>
      </c>
      <c r="T581" s="39" t="str">
        <f t="shared" si="39"/>
        <v/>
      </c>
    </row>
    <row r="582" spans="4:20" x14ac:dyDescent="0.25">
      <c r="D582" s="38" t="str">
        <f t="shared" si="36"/>
        <v/>
      </c>
      <c r="E582" s="38" t="str">
        <f t="shared" si="37"/>
        <v/>
      </c>
      <c r="G582" s="1"/>
      <c r="L582" s="39" t="str">
        <f t="shared" si="38"/>
        <v/>
      </c>
      <c r="T582" s="39" t="str">
        <f t="shared" si="39"/>
        <v/>
      </c>
    </row>
    <row r="583" spans="4:20" x14ac:dyDescent="0.25">
      <c r="D583" s="38" t="str">
        <f t="shared" si="36"/>
        <v/>
      </c>
      <c r="E583" s="38" t="str">
        <f t="shared" si="37"/>
        <v/>
      </c>
      <c r="G583" s="1"/>
      <c r="L583" s="39" t="str">
        <f t="shared" si="38"/>
        <v/>
      </c>
      <c r="T583" s="39" t="str">
        <f t="shared" si="39"/>
        <v/>
      </c>
    </row>
    <row r="584" spans="4:20" x14ac:dyDescent="0.25">
      <c r="D584" s="38" t="str">
        <f t="shared" si="36"/>
        <v/>
      </c>
      <c r="E584" s="38" t="str">
        <f t="shared" si="37"/>
        <v/>
      </c>
      <c r="G584" s="1"/>
      <c r="L584" s="39" t="str">
        <f t="shared" si="38"/>
        <v/>
      </c>
      <c r="T584" s="39" t="str">
        <f t="shared" si="39"/>
        <v/>
      </c>
    </row>
    <row r="585" spans="4:20" x14ac:dyDescent="0.25">
      <c r="D585" s="38" t="str">
        <f t="shared" si="36"/>
        <v/>
      </c>
      <c r="E585" s="38" t="str">
        <f t="shared" si="37"/>
        <v/>
      </c>
      <c r="G585" s="1"/>
      <c r="L585" s="39" t="str">
        <f t="shared" si="38"/>
        <v/>
      </c>
      <c r="T585" s="39" t="str">
        <f t="shared" si="39"/>
        <v/>
      </c>
    </row>
    <row r="586" spans="4:20" x14ac:dyDescent="0.25">
      <c r="D586" s="38" t="str">
        <f t="shared" si="36"/>
        <v/>
      </c>
      <c r="E586" s="38" t="str">
        <f t="shared" si="37"/>
        <v/>
      </c>
      <c r="G586" s="1"/>
      <c r="L586" s="39" t="str">
        <f t="shared" si="38"/>
        <v/>
      </c>
      <c r="T586" s="39" t="str">
        <f t="shared" si="39"/>
        <v/>
      </c>
    </row>
    <row r="587" spans="4:20" x14ac:dyDescent="0.25">
      <c r="D587" s="38" t="str">
        <f t="shared" si="36"/>
        <v/>
      </c>
      <c r="E587" s="38" t="str">
        <f t="shared" si="37"/>
        <v/>
      </c>
      <c r="G587" s="1"/>
      <c r="L587" s="39" t="str">
        <f t="shared" si="38"/>
        <v/>
      </c>
      <c r="T587" s="39" t="str">
        <f t="shared" si="39"/>
        <v/>
      </c>
    </row>
    <row r="588" spans="4:20" x14ac:dyDescent="0.25">
      <c r="D588" s="38" t="str">
        <f t="shared" si="36"/>
        <v/>
      </c>
      <c r="E588" s="38" t="str">
        <f t="shared" si="37"/>
        <v/>
      </c>
      <c r="G588" s="1"/>
      <c r="L588" s="39" t="str">
        <f t="shared" si="38"/>
        <v/>
      </c>
      <c r="T588" s="39" t="str">
        <f t="shared" si="39"/>
        <v/>
      </c>
    </row>
    <row r="589" spans="4:20" x14ac:dyDescent="0.25">
      <c r="D589" s="38" t="str">
        <f t="shared" si="36"/>
        <v/>
      </c>
      <c r="E589" s="38" t="str">
        <f t="shared" si="37"/>
        <v/>
      </c>
      <c r="G589" s="1"/>
      <c r="L589" s="39" t="str">
        <f t="shared" si="38"/>
        <v/>
      </c>
      <c r="T589" s="39" t="str">
        <f t="shared" si="39"/>
        <v/>
      </c>
    </row>
    <row r="590" spans="4:20" x14ac:dyDescent="0.25">
      <c r="D590" s="38" t="str">
        <f t="shared" si="36"/>
        <v/>
      </c>
      <c r="E590" s="38" t="str">
        <f t="shared" si="37"/>
        <v/>
      </c>
      <c r="G590" s="1"/>
      <c r="L590" s="39" t="str">
        <f t="shared" si="38"/>
        <v/>
      </c>
      <c r="T590" s="39" t="str">
        <f t="shared" si="39"/>
        <v/>
      </c>
    </row>
    <row r="591" spans="4:20" x14ac:dyDescent="0.25">
      <c r="D591" s="38" t="str">
        <f t="shared" si="36"/>
        <v/>
      </c>
      <c r="E591" s="38" t="str">
        <f t="shared" si="37"/>
        <v/>
      </c>
      <c r="G591" s="1"/>
      <c r="L591" s="39" t="str">
        <f t="shared" si="38"/>
        <v/>
      </c>
      <c r="T591" s="39" t="str">
        <f t="shared" si="39"/>
        <v/>
      </c>
    </row>
    <row r="592" spans="4:20" x14ac:dyDescent="0.25">
      <c r="D592" s="38" t="str">
        <f t="shared" si="36"/>
        <v/>
      </c>
      <c r="E592" s="38" t="str">
        <f t="shared" si="37"/>
        <v/>
      </c>
      <c r="G592" s="1"/>
      <c r="L592" s="39" t="str">
        <f t="shared" si="38"/>
        <v/>
      </c>
      <c r="T592" s="39" t="str">
        <f t="shared" si="39"/>
        <v/>
      </c>
    </row>
    <row r="593" spans="4:20" x14ac:dyDescent="0.25">
      <c r="D593" s="38" t="str">
        <f t="shared" si="36"/>
        <v/>
      </c>
      <c r="E593" s="38" t="str">
        <f t="shared" si="37"/>
        <v/>
      </c>
      <c r="G593" s="1"/>
      <c r="L593" s="39" t="str">
        <f t="shared" si="38"/>
        <v/>
      </c>
      <c r="T593" s="39" t="str">
        <f t="shared" si="39"/>
        <v/>
      </c>
    </row>
    <row r="594" spans="4:20" x14ac:dyDescent="0.25">
      <c r="D594" s="38" t="str">
        <f t="shared" si="36"/>
        <v/>
      </c>
      <c r="E594" s="38" t="str">
        <f t="shared" si="37"/>
        <v/>
      </c>
      <c r="G594" s="1"/>
      <c r="L594" s="39" t="str">
        <f t="shared" si="38"/>
        <v/>
      </c>
      <c r="T594" s="39" t="str">
        <f t="shared" si="39"/>
        <v/>
      </c>
    </row>
    <row r="595" spans="4:20" x14ac:dyDescent="0.25">
      <c r="D595" s="38" t="str">
        <f t="shared" si="36"/>
        <v/>
      </c>
      <c r="E595" s="38" t="str">
        <f t="shared" si="37"/>
        <v/>
      </c>
      <c r="G595" s="1"/>
      <c r="L595" s="39" t="str">
        <f t="shared" si="38"/>
        <v/>
      </c>
      <c r="T595" s="39" t="str">
        <f t="shared" si="39"/>
        <v/>
      </c>
    </row>
    <row r="596" spans="4:20" x14ac:dyDescent="0.25">
      <c r="D596" s="38" t="str">
        <f t="shared" si="36"/>
        <v/>
      </c>
      <c r="E596" s="38" t="str">
        <f t="shared" si="37"/>
        <v/>
      </c>
      <c r="G596" s="1"/>
      <c r="L596" s="39" t="str">
        <f t="shared" si="38"/>
        <v/>
      </c>
      <c r="T596" s="39" t="str">
        <f t="shared" si="39"/>
        <v/>
      </c>
    </row>
    <row r="597" spans="4:20" x14ac:dyDescent="0.25">
      <c r="D597" s="38" t="str">
        <f t="shared" si="36"/>
        <v/>
      </c>
      <c r="E597" s="38" t="str">
        <f t="shared" si="37"/>
        <v/>
      </c>
      <c r="G597" s="1"/>
      <c r="L597" s="39" t="str">
        <f t="shared" si="38"/>
        <v/>
      </c>
      <c r="T597" s="39" t="str">
        <f t="shared" si="39"/>
        <v/>
      </c>
    </row>
    <row r="598" spans="4:20" x14ac:dyDescent="0.25">
      <c r="D598" s="38" t="str">
        <f t="shared" si="36"/>
        <v/>
      </c>
      <c r="E598" s="38" t="str">
        <f t="shared" si="37"/>
        <v/>
      </c>
      <c r="G598" s="1"/>
      <c r="L598" s="39" t="str">
        <f t="shared" si="38"/>
        <v/>
      </c>
      <c r="T598" s="39" t="str">
        <f t="shared" si="39"/>
        <v/>
      </c>
    </row>
    <row r="599" spans="4:20" x14ac:dyDescent="0.25">
      <c r="D599" s="38" t="str">
        <f t="shared" si="36"/>
        <v/>
      </c>
      <c r="E599" s="38" t="str">
        <f t="shared" si="37"/>
        <v/>
      </c>
      <c r="G599" s="1"/>
      <c r="L599" s="39" t="str">
        <f t="shared" si="38"/>
        <v/>
      </c>
      <c r="T599" s="39" t="str">
        <f t="shared" si="39"/>
        <v/>
      </c>
    </row>
    <row r="600" spans="4:20" x14ac:dyDescent="0.25">
      <c r="D600" s="38" t="str">
        <f t="shared" si="36"/>
        <v/>
      </c>
      <c r="E600" s="38" t="str">
        <f t="shared" si="37"/>
        <v/>
      </c>
      <c r="G600" s="1"/>
      <c r="L600" s="39" t="str">
        <f t="shared" si="38"/>
        <v/>
      </c>
      <c r="T600" s="39" t="str">
        <f t="shared" si="39"/>
        <v/>
      </c>
    </row>
    <row r="601" spans="4:20" x14ac:dyDescent="0.25">
      <c r="D601" s="38" t="str">
        <f t="shared" si="36"/>
        <v/>
      </c>
      <c r="E601" s="38" t="str">
        <f t="shared" si="37"/>
        <v/>
      </c>
      <c r="G601" s="1"/>
      <c r="L601" s="39" t="str">
        <f t="shared" si="38"/>
        <v/>
      </c>
      <c r="T601" s="39" t="str">
        <f t="shared" si="39"/>
        <v/>
      </c>
    </row>
    <row r="602" spans="4:20" x14ac:dyDescent="0.25">
      <c r="D602" s="38" t="str">
        <f t="shared" si="36"/>
        <v/>
      </c>
      <c r="E602" s="38" t="str">
        <f t="shared" si="37"/>
        <v/>
      </c>
      <c r="G602" s="1"/>
      <c r="L602" s="39" t="str">
        <f t="shared" si="38"/>
        <v/>
      </c>
      <c r="T602" s="39" t="str">
        <f t="shared" si="39"/>
        <v/>
      </c>
    </row>
    <row r="603" spans="4:20" x14ac:dyDescent="0.25">
      <c r="D603" s="38" t="str">
        <f t="shared" si="36"/>
        <v/>
      </c>
      <c r="E603" s="38" t="str">
        <f t="shared" si="37"/>
        <v/>
      </c>
      <c r="G603" s="1"/>
      <c r="L603" s="39" t="str">
        <f t="shared" si="38"/>
        <v/>
      </c>
      <c r="T603" s="39" t="str">
        <f t="shared" si="39"/>
        <v/>
      </c>
    </row>
    <row r="604" spans="4:20" x14ac:dyDescent="0.25">
      <c r="D604" s="38" t="str">
        <f t="shared" si="36"/>
        <v/>
      </c>
      <c r="E604" s="38" t="str">
        <f t="shared" si="37"/>
        <v/>
      </c>
      <c r="G604" s="1"/>
      <c r="L604" s="39" t="str">
        <f t="shared" si="38"/>
        <v/>
      </c>
      <c r="T604" s="39" t="str">
        <f t="shared" si="39"/>
        <v/>
      </c>
    </row>
    <row r="605" spans="4:20" x14ac:dyDescent="0.25">
      <c r="D605" s="38" t="str">
        <f t="shared" si="36"/>
        <v/>
      </c>
      <c r="E605" s="38" t="str">
        <f t="shared" si="37"/>
        <v/>
      </c>
      <c r="G605" s="1"/>
      <c r="L605" s="39" t="str">
        <f t="shared" si="38"/>
        <v/>
      </c>
      <c r="T605" s="39" t="str">
        <f t="shared" si="39"/>
        <v/>
      </c>
    </row>
    <row r="606" spans="4:20" x14ac:dyDescent="0.25">
      <c r="D606" s="38" t="str">
        <f t="shared" si="36"/>
        <v/>
      </c>
      <c r="E606" s="38" t="str">
        <f t="shared" si="37"/>
        <v/>
      </c>
      <c r="G606" s="1"/>
      <c r="L606" s="39" t="str">
        <f t="shared" si="38"/>
        <v/>
      </c>
      <c r="T606" s="39" t="str">
        <f t="shared" si="39"/>
        <v/>
      </c>
    </row>
    <row r="607" spans="4:20" x14ac:dyDescent="0.25">
      <c r="D607" s="38" t="str">
        <f t="shared" si="36"/>
        <v/>
      </c>
      <c r="E607" s="38" t="str">
        <f t="shared" si="37"/>
        <v/>
      </c>
      <c r="G607" s="1"/>
      <c r="L607" s="39" t="str">
        <f t="shared" si="38"/>
        <v/>
      </c>
      <c r="T607" s="39" t="str">
        <f t="shared" si="39"/>
        <v/>
      </c>
    </row>
    <row r="608" spans="4:20" x14ac:dyDescent="0.25">
      <c r="D608" s="38" t="str">
        <f t="shared" si="36"/>
        <v/>
      </c>
      <c r="E608" s="38" t="str">
        <f t="shared" si="37"/>
        <v/>
      </c>
      <c r="G608" s="1"/>
      <c r="L608" s="39" t="str">
        <f t="shared" si="38"/>
        <v/>
      </c>
      <c r="T608" s="39" t="str">
        <f t="shared" si="39"/>
        <v/>
      </c>
    </row>
    <row r="609" spans="4:20" x14ac:dyDescent="0.25">
      <c r="D609" s="38" t="str">
        <f t="shared" si="36"/>
        <v/>
      </c>
      <c r="E609" s="38" t="str">
        <f t="shared" si="37"/>
        <v/>
      </c>
      <c r="G609" s="1"/>
      <c r="L609" s="39" t="str">
        <f t="shared" si="38"/>
        <v/>
      </c>
      <c r="T609" s="39" t="str">
        <f t="shared" si="39"/>
        <v/>
      </c>
    </row>
    <row r="610" spans="4:20" x14ac:dyDescent="0.25">
      <c r="D610" s="38" t="str">
        <f t="shared" si="36"/>
        <v/>
      </c>
      <c r="E610" s="38" t="str">
        <f t="shared" si="37"/>
        <v/>
      </c>
      <c r="G610" s="1"/>
      <c r="L610" s="39" t="str">
        <f t="shared" si="38"/>
        <v/>
      </c>
      <c r="T610" s="39" t="str">
        <f t="shared" si="39"/>
        <v/>
      </c>
    </row>
    <row r="611" spans="4:20" x14ac:dyDescent="0.25">
      <c r="D611" s="38" t="str">
        <f t="shared" si="36"/>
        <v/>
      </c>
      <c r="E611" s="38" t="str">
        <f t="shared" si="37"/>
        <v/>
      </c>
      <c r="G611" s="1"/>
      <c r="L611" s="39" t="str">
        <f t="shared" si="38"/>
        <v/>
      </c>
      <c r="T611" s="39" t="str">
        <f t="shared" si="39"/>
        <v/>
      </c>
    </row>
    <row r="612" spans="4:20" x14ac:dyDescent="0.25">
      <c r="D612" s="38" t="str">
        <f t="shared" si="36"/>
        <v/>
      </c>
      <c r="E612" s="38" t="str">
        <f t="shared" si="37"/>
        <v/>
      </c>
      <c r="G612" s="1"/>
      <c r="L612" s="39" t="str">
        <f t="shared" si="38"/>
        <v/>
      </c>
      <c r="T612" s="39" t="str">
        <f t="shared" si="39"/>
        <v/>
      </c>
    </row>
    <row r="613" spans="4:20" x14ac:dyDescent="0.25">
      <c r="D613" s="38" t="str">
        <f t="shared" si="36"/>
        <v/>
      </c>
      <c r="E613" s="38" t="str">
        <f t="shared" si="37"/>
        <v/>
      </c>
      <c r="G613" s="1"/>
      <c r="L613" s="39" t="str">
        <f t="shared" si="38"/>
        <v/>
      </c>
      <c r="T613" s="39" t="str">
        <f t="shared" si="39"/>
        <v/>
      </c>
    </row>
    <row r="614" spans="4:20" x14ac:dyDescent="0.25">
      <c r="D614" s="38" t="str">
        <f t="shared" si="36"/>
        <v/>
      </c>
      <c r="E614" s="38" t="str">
        <f t="shared" si="37"/>
        <v/>
      </c>
      <c r="G614" s="1"/>
      <c r="L614" s="39" t="str">
        <f t="shared" si="38"/>
        <v/>
      </c>
      <c r="T614" s="39" t="str">
        <f t="shared" si="39"/>
        <v/>
      </c>
    </row>
    <row r="615" spans="4:20" x14ac:dyDescent="0.25">
      <c r="D615" s="38" t="str">
        <f t="shared" si="36"/>
        <v/>
      </c>
      <c r="E615" s="38" t="str">
        <f t="shared" si="37"/>
        <v/>
      </c>
      <c r="G615" s="1"/>
      <c r="L615" s="39" t="str">
        <f t="shared" si="38"/>
        <v/>
      </c>
      <c r="T615" s="39" t="str">
        <f t="shared" si="39"/>
        <v/>
      </c>
    </row>
    <row r="616" spans="4:20" x14ac:dyDescent="0.25">
      <c r="D616" s="38" t="str">
        <f t="shared" si="36"/>
        <v/>
      </c>
      <c r="E616" s="38" t="str">
        <f t="shared" si="37"/>
        <v/>
      </c>
      <c r="G616" s="1"/>
      <c r="L616" s="39" t="str">
        <f t="shared" si="38"/>
        <v/>
      </c>
      <c r="T616" s="39" t="str">
        <f t="shared" si="39"/>
        <v/>
      </c>
    </row>
    <row r="617" spans="4:20" x14ac:dyDescent="0.25">
      <c r="D617" s="38" t="str">
        <f t="shared" si="36"/>
        <v/>
      </c>
      <c r="E617" s="38" t="str">
        <f t="shared" si="37"/>
        <v/>
      </c>
      <c r="G617" s="1"/>
      <c r="L617" s="39" t="str">
        <f t="shared" si="38"/>
        <v/>
      </c>
      <c r="T617" s="39" t="str">
        <f t="shared" si="39"/>
        <v/>
      </c>
    </row>
    <row r="618" spans="4:20" x14ac:dyDescent="0.25">
      <c r="D618" s="38" t="str">
        <f t="shared" si="36"/>
        <v/>
      </c>
      <c r="E618" s="38" t="str">
        <f t="shared" si="37"/>
        <v/>
      </c>
      <c r="G618" s="1"/>
      <c r="L618" s="39" t="str">
        <f t="shared" si="38"/>
        <v/>
      </c>
      <c r="T618" s="39" t="str">
        <f t="shared" si="39"/>
        <v/>
      </c>
    </row>
    <row r="619" spans="4:20" x14ac:dyDescent="0.25">
      <c r="D619" s="38" t="str">
        <f t="shared" si="36"/>
        <v/>
      </c>
      <c r="E619" s="38" t="str">
        <f t="shared" si="37"/>
        <v/>
      </c>
      <c r="G619" s="1"/>
      <c r="L619" s="39" t="str">
        <f t="shared" si="38"/>
        <v/>
      </c>
      <c r="T619" s="39" t="str">
        <f t="shared" si="39"/>
        <v/>
      </c>
    </row>
    <row r="620" spans="4:20" x14ac:dyDescent="0.25">
      <c r="D620" s="38" t="str">
        <f t="shared" si="36"/>
        <v/>
      </c>
      <c r="E620" s="38" t="str">
        <f t="shared" si="37"/>
        <v/>
      </c>
      <c r="G620" s="1"/>
      <c r="L620" s="39" t="str">
        <f t="shared" si="38"/>
        <v/>
      </c>
      <c r="T620" s="39" t="str">
        <f t="shared" si="39"/>
        <v/>
      </c>
    </row>
    <row r="621" spans="4:20" x14ac:dyDescent="0.25">
      <c r="D621" s="38" t="str">
        <f t="shared" si="36"/>
        <v/>
      </c>
      <c r="E621" s="38" t="str">
        <f t="shared" si="37"/>
        <v/>
      </c>
      <c r="G621" s="1"/>
      <c r="L621" s="39" t="str">
        <f t="shared" si="38"/>
        <v/>
      </c>
      <c r="T621" s="39" t="str">
        <f t="shared" si="39"/>
        <v/>
      </c>
    </row>
    <row r="622" spans="4:20" x14ac:dyDescent="0.25">
      <c r="D622" s="38" t="str">
        <f t="shared" si="36"/>
        <v/>
      </c>
      <c r="E622" s="38" t="str">
        <f t="shared" si="37"/>
        <v/>
      </c>
      <c r="G622" s="1"/>
      <c r="L622" s="39" t="str">
        <f t="shared" si="38"/>
        <v/>
      </c>
      <c r="T622" s="39" t="str">
        <f t="shared" si="39"/>
        <v/>
      </c>
    </row>
    <row r="623" spans="4:20" x14ac:dyDescent="0.25">
      <c r="D623" s="38" t="str">
        <f t="shared" si="36"/>
        <v/>
      </c>
      <c r="E623" s="38" t="str">
        <f t="shared" si="37"/>
        <v/>
      </c>
      <c r="G623" s="1"/>
      <c r="L623" s="39" t="str">
        <f t="shared" si="38"/>
        <v/>
      </c>
      <c r="T623" s="39" t="str">
        <f t="shared" si="39"/>
        <v/>
      </c>
    </row>
    <row r="624" spans="4:20" x14ac:dyDescent="0.25">
      <c r="D624" s="38" t="str">
        <f t="shared" si="36"/>
        <v/>
      </c>
      <c r="E624" s="38" t="str">
        <f t="shared" si="37"/>
        <v/>
      </c>
      <c r="G624" s="1"/>
      <c r="L624" s="39" t="str">
        <f t="shared" si="38"/>
        <v/>
      </c>
      <c r="T624" s="39" t="str">
        <f t="shared" si="39"/>
        <v/>
      </c>
    </row>
    <row r="625" spans="4:20" x14ac:dyDescent="0.25">
      <c r="D625" s="38" t="str">
        <f t="shared" si="36"/>
        <v/>
      </c>
      <c r="E625" s="38" t="str">
        <f t="shared" si="37"/>
        <v/>
      </c>
      <c r="G625" s="1"/>
      <c r="L625" s="39" t="str">
        <f t="shared" si="38"/>
        <v/>
      </c>
      <c r="T625" s="39" t="str">
        <f t="shared" si="39"/>
        <v/>
      </c>
    </row>
    <row r="626" spans="4:20" x14ac:dyDescent="0.25">
      <c r="D626" s="38" t="str">
        <f t="shared" si="36"/>
        <v/>
      </c>
      <c r="E626" s="38" t="str">
        <f t="shared" si="37"/>
        <v/>
      </c>
      <c r="G626" s="1"/>
      <c r="L626" s="39" t="str">
        <f t="shared" si="38"/>
        <v/>
      </c>
      <c r="T626" s="39" t="str">
        <f t="shared" si="39"/>
        <v/>
      </c>
    </row>
    <row r="627" spans="4:20" x14ac:dyDescent="0.25">
      <c r="D627" s="38" t="str">
        <f t="shared" si="36"/>
        <v/>
      </c>
      <c r="E627" s="38" t="str">
        <f t="shared" si="37"/>
        <v/>
      </c>
      <c r="G627" s="1"/>
      <c r="L627" s="39" t="str">
        <f t="shared" si="38"/>
        <v/>
      </c>
      <c r="T627" s="39" t="str">
        <f t="shared" si="39"/>
        <v/>
      </c>
    </row>
    <row r="628" spans="4:20" x14ac:dyDescent="0.25">
      <c r="D628" s="38" t="str">
        <f t="shared" si="36"/>
        <v/>
      </c>
      <c r="E628" s="38" t="str">
        <f t="shared" si="37"/>
        <v/>
      </c>
      <c r="G628" s="1"/>
      <c r="L628" s="39" t="str">
        <f t="shared" si="38"/>
        <v/>
      </c>
      <c r="T628" s="39" t="str">
        <f t="shared" si="39"/>
        <v/>
      </c>
    </row>
    <row r="629" spans="4:20" x14ac:dyDescent="0.25">
      <c r="D629" s="38" t="str">
        <f t="shared" si="36"/>
        <v/>
      </c>
      <c r="E629" s="38" t="str">
        <f t="shared" si="37"/>
        <v/>
      </c>
      <c r="G629" s="1"/>
      <c r="L629" s="39" t="str">
        <f t="shared" si="38"/>
        <v/>
      </c>
      <c r="T629" s="39" t="str">
        <f t="shared" si="39"/>
        <v/>
      </c>
    </row>
    <row r="630" spans="4:20" x14ac:dyDescent="0.25">
      <c r="D630" s="38" t="str">
        <f t="shared" si="36"/>
        <v/>
      </c>
      <c r="E630" s="38" t="str">
        <f t="shared" si="37"/>
        <v/>
      </c>
      <c r="G630" s="1"/>
      <c r="L630" s="39" t="str">
        <f t="shared" si="38"/>
        <v/>
      </c>
      <c r="T630" s="39" t="str">
        <f t="shared" si="39"/>
        <v/>
      </c>
    </row>
    <row r="631" spans="4:20" x14ac:dyDescent="0.25">
      <c r="D631" s="38" t="str">
        <f t="shared" si="36"/>
        <v/>
      </c>
      <c r="E631" s="38" t="str">
        <f t="shared" si="37"/>
        <v/>
      </c>
      <c r="G631" s="1"/>
      <c r="L631" s="39" t="str">
        <f t="shared" si="38"/>
        <v/>
      </c>
      <c r="T631" s="39" t="str">
        <f t="shared" si="39"/>
        <v/>
      </c>
    </row>
    <row r="632" spans="4:20" x14ac:dyDescent="0.25">
      <c r="D632" s="38" t="str">
        <f t="shared" si="36"/>
        <v/>
      </c>
      <c r="E632" s="38" t="str">
        <f t="shared" si="37"/>
        <v/>
      </c>
      <c r="G632" s="1"/>
      <c r="L632" s="39" t="str">
        <f t="shared" si="38"/>
        <v/>
      </c>
      <c r="T632" s="39" t="str">
        <f t="shared" si="39"/>
        <v/>
      </c>
    </row>
    <row r="633" spans="4:20" x14ac:dyDescent="0.25">
      <c r="D633" s="38" t="str">
        <f t="shared" si="36"/>
        <v/>
      </c>
      <c r="E633" s="38" t="str">
        <f t="shared" si="37"/>
        <v/>
      </c>
      <c r="G633" s="1"/>
      <c r="L633" s="39" t="str">
        <f t="shared" si="38"/>
        <v/>
      </c>
      <c r="T633" s="39" t="str">
        <f t="shared" si="39"/>
        <v/>
      </c>
    </row>
    <row r="634" spans="4:20" x14ac:dyDescent="0.25">
      <c r="D634" s="38" t="str">
        <f t="shared" si="36"/>
        <v/>
      </c>
      <c r="E634" s="38" t="str">
        <f t="shared" si="37"/>
        <v/>
      </c>
      <c r="G634" s="1"/>
      <c r="L634" s="39" t="str">
        <f t="shared" si="38"/>
        <v/>
      </c>
      <c r="T634" s="39" t="str">
        <f t="shared" si="39"/>
        <v/>
      </c>
    </row>
    <row r="635" spans="4:20" x14ac:dyDescent="0.25">
      <c r="D635" s="38" t="str">
        <f t="shared" si="36"/>
        <v/>
      </c>
      <c r="E635" s="38" t="str">
        <f t="shared" si="37"/>
        <v/>
      </c>
      <c r="G635" s="1"/>
      <c r="L635" s="39" t="str">
        <f t="shared" si="38"/>
        <v/>
      </c>
      <c r="T635" s="39" t="str">
        <f t="shared" si="39"/>
        <v/>
      </c>
    </row>
    <row r="636" spans="4:20" x14ac:dyDescent="0.25">
      <c r="D636" s="38" t="str">
        <f t="shared" si="36"/>
        <v/>
      </c>
      <c r="E636" s="38" t="str">
        <f t="shared" si="37"/>
        <v/>
      </c>
      <c r="G636" s="1"/>
      <c r="L636" s="39" t="str">
        <f t="shared" si="38"/>
        <v/>
      </c>
      <c r="T636" s="39" t="str">
        <f t="shared" si="39"/>
        <v/>
      </c>
    </row>
    <row r="637" spans="4:20" x14ac:dyDescent="0.25">
      <c r="D637" s="38" t="str">
        <f t="shared" si="36"/>
        <v/>
      </c>
      <c r="E637" s="38" t="str">
        <f t="shared" si="37"/>
        <v/>
      </c>
      <c r="G637" s="1"/>
      <c r="L637" s="39" t="str">
        <f t="shared" si="38"/>
        <v/>
      </c>
      <c r="T637" s="39" t="str">
        <f t="shared" si="39"/>
        <v/>
      </c>
    </row>
    <row r="638" spans="4:20" x14ac:dyDescent="0.25">
      <c r="D638" s="38" t="str">
        <f t="shared" si="36"/>
        <v/>
      </c>
      <c r="E638" s="38" t="str">
        <f t="shared" si="37"/>
        <v/>
      </c>
      <c r="G638" s="1"/>
      <c r="L638" s="39" t="str">
        <f t="shared" si="38"/>
        <v/>
      </c>
      <c r="T638" s="39" t="str">
        <f t="shared" si="39"/>
        <v/>
      </c>
    </row>
    <row r="639" spans="4:20" x14ac:dyDescent="0.25">
      <c r="D639" s="38" t="str">
        <f t="shared" si="36"/>
        <v/>
      </c>
      <c r="E639" s="38" t="str">
        <f t="shared" si="37"/>
        <v/>
      </c>
      <c r="G639" s="1"/>
      <c r="L639" s="39" t="str">
        <f t="shared" si="38"/>
        <v/>
      </c>
      <c r="T639" s="39" t="str">
        <f t="shared" si="39"/>
        <v/>
      </c>
    </row>
    <row r="640" spans="4:20" x14ac:dyDescent="0.25">
      <c r="D640" s="38" t="str">
        <f t="shared" si="36"/>
        <v/>
      </c>
      <c r="E640" s="38" t="str">
        <f t="shared" si="37"/>
        <v/>
      </c>
      <c r="G640" s="1"/>
      <c r="L640" s="39" t="str">
        <f t="shared" si="38"/>
        <v/>
      </c>
      <c r="T640" s="39" t="str">
        <f t="shared" si="39"/>
        <v/>
      </c>
    </row>
    <row r="641" spans="4:20" x14ac:dyDescent="0.25">
      <c r="D641" s="38" t="str">
        <f t="shared" si="36"/>
        <v/>
      </c>
      <c r="E641" s="38" t="str">
        <f t="shared" si="37"/>
        <v/>
      </c>
      <c r="G641" s="1"/>
      <c r="L641" s="39" t="str">
        <f t="shared" si="38"/>
        <v/>
      </c>
      <c r="T641" s="39" t="str">
        <f t="shared" si="39"/>
        <v/>
      </c>
    </row>
    <row r="642" spans="4:20" x14ac:dyDescent="0.25">
      <c r="D642" s="38" t="str">
        <f t="shared" ref="D642:D705" si="40">IF($B642="", "", CHOOSE(MONTH($B642), "Gennaio","Febbraio","Marzo","Aprile","Maggio","Giugno","Luglio","Agosto","Settembre","Ottobre","Novembre","Dicembre"))</f>
        <v/>
      </c>
      <c r="E642" s="38" t="str">
        <f t="shared" ref="E642:E705" si="41">IF($B642="", "", CHOOSE(WEEKDAY($B642,2), "Lunedì","Martedì","Mercoledì","Giovedì","Venerdì","Sabato","Domenica"))</f>
        <v/>
      </c>
      <c r="G642" s="1"/>
      <c r="L642" s="39" t="str">
        <f t="shared" ref="L642:L705" si="42">IF($K642="Target", $G642*$H642, IF($K642="Stop Loss", -$G642, IF($K642="Breakeven", 0, "")))</f>
        <v/>
      </c>
      <c r="T642" s="39" t="str">
        <f t="shared" si="39"/>
        <v/>
      </c>
    </row>
    <row r="643" spans="4:20" x14ac:dyDescent="0.25">
      <c r="D643" s="38" t="str">
        <f t="shared" si="40"/>
        <v/>
      </c>
      <c r="E643" s="38" t="str">
        <f t="shared" si="41"/>
        <v/>
      </c>
      <c r="G643" s="1"/>
      <c r="L643" s="39" t="str">
        <f t="shared" si="42"/>
        <v/>
      </c>
      <c r="T643" s="39" t="str">
        <f t="shared" ref="T643:T706" si="43">IF($L643="", "", $T642 + $L643)</f>
        <v/>
      </c>
    </row>
    <row r="644" spans="4:20" x14ac:dyDescent="0.25">
      <c r="D644" s="38" t="str">
        <f t="shared" si="40"/>
        <v/>
      </c>
      <c r="E644" s="38" t="str">
        <f t="shared" si="41"/>
        <v/>
      </c>
      <c r="G644" s="1"/>
      <c r="L644" s="39" t="str">
        <f t="shared" si="42"/>
        <v/>
      </c>
      <c r="T644" s="39" t="str">
        <f t="shared" si="43"/>
        <v/>
      </c>
    </row>
    <row r="645" spans="4:20" x14ac:dyDescent="0.25">
      <c r="D645" s="38" t="str">
        <f t="shared" si="40"/>
        <v/>
      </c>
      <c r="E645" s="38" t="str">
        <f t="shared" si="41"/>
        <v/>
      </c>
      <c r="G645" s="1"/>
      <c r="L645" s="39" t="str">
        <f t="shared" si="42"/>
        <v/>
      </c>
      <c r="T645" s="39" t="str">
        <f t="shared" si="43"/>
        <v/>
      </c>
    </row>
    <row r="646" spans="4:20" x14ac:dyDescent="0.25">
      <c r="D646" s="38" t="str">
        <f t="shared" si="40"/>
        <v/>
      </c>
      <c r="E646" s="38" t="str">
        <f t="shared" si="41"/>
        <v/>
      </c>
      <c r="G646" s="1"/>
      <c r="L646" s="39" t="str">
        <f t="shared" si="42"/>
        <v/>
      </c>
      <c r="T646" s="39" t="str">
        <f t="shared" si="43"/>
        <v/>
      </c>
    </row>
    <row r="647" spans="4:20" x14ac:dyDescent="0.25">
      <c r="D647" s="38" t="str">
        <f t="shared" si="40"/>
        <v/>
      </c>
      <c r="E647" s="38" t="str">
        <f t="shared" si="41"/>
        <v/>
      </c>
      <c r="G647" s="1"/>
      <c r="L647" s="39" t="str">
        <f t="shared" si="42"/>
        <v/>
      </c>
      <c r="T647" s="39" t="str">
        <f t="shared" si="43"/>
        <v/>
      </c>
    </row>
    <row r="648" spans="4:20" x14ac:dyDescent="0.25">
      <c r="D648" s="38" t="str">
        <f t="shared" si="40"/>
        <v/>
      </c>
      <c r="E648" s="38" t="str">
        <f t="shared" si="41"/>
        <v/>
      </c>
      <c r="G648" s="1"/>
      <c r="L648" s="39" t="str">
        <f t="shared" si="42"/>
        <v/>
      </c>
      <c r="T648" s="39" t="str">
        <f t="shared" si="43"/>
        <v/>
      </c>
    </row>
    <row r="649" spans="4:20" x14ac:dyDescent="0.25">
      <c r="D649" s="38" t="str">
        <f t="shared" si="40"/>
        <v/>
      </c>
      <c r="E649" s="38" t="str">
        <f t="shared" si="41"/>
        <v/>
      </c>
      <c r="G649" s="1"/>
      <c r="L649" s="39" t="str">
        <f t="shared" si="42"/>
        <v/>
      </c>
      <c r="T649" s="39" t="str">
        <f t="shared" si="43"/>
        <v/>
      </c>
    </row>
    <row r="650" spans="4:20" x14ac:dyDescent="0.25">
      <c r="D650" s="38" t="str">
        <f t="shared" si="40"/>
        <v/>
      </c>
      <c r="E650" s="38" t="str">
        <f t="shared" si="41"/>
        <v/>
      </c>
      <c r="G650" s="1"/>
      <c r="L650" s="39" t="str">
        <f t="shared" si="42"/>
        <v/>
      </c>
      <c r="T650" s="39" t="str">
        <f t="shared" si="43"/>
        <v/>
      </c>
    </row>
    <row r="651" spans="4:20" x14ac:dyDescent="0.25">
      <c r="D651" s="38" t="str">
        <f t="shared" si="40"/>
        <v/>
      </c>
      <c r="E651" s="38" t="str">
        <f t="shared" si="41"/>
        <v/>
      </c>
      <c r="G651" s="1"/>
      <c r="L651" s="39" t="str">
        <f t="shared" si="42"/>
        <v/>
      </c>
      <c r="T651" s="39" t="str">
        <f t="shared" si="43"/>
        <v/>
      </c>
    </row>
    <row r="652" spans="4:20" x14ac:dyDescent="0.25">
      <c r="D652" s="38" t="str">
        <f t="shared" si="40"/>
        <v/>
      </c>
      <c r="E652" s="38" t="str">
        <f t="shared" si="41"/>
        <v/>
      </c>
      <c r="G652" s="1"/>
      <c r="L652" s="39" t="str">
        <f t="shared" si="42"/>
        <v/>
      </c>
      <c r="T652" s="39" t="str">
        <f t="shared" si="43"/>
        <v/>
      </c>
    </row>
    <row r="653" spans="4:20" x14ac:dyDescent="0.25">
      <c r="D653" s="38" t="str">
        <f t="shared" si="40"/>
        <v/>
      </c>
      <c r="E653" s="38" t="str">
        <f t="shared" si="41"/>
        <v/>
      </c>
      <c r="G653" s="1"/>
      <c r="L653" s="39" t="str">
        <f t="shared" si="42"/>
        <v/>
      </c>
      <c r="T653" s="39" t="str">
        <f t="shared" si="43"/>
        <v/>
      </c>
    </row>
    <row r="654" spans="4:20" x14ac:dyDescent="0.25">
      <c r="D654" s="38" t="str">
        <f t="shared" si="40"/>
        <v/>
      </c>
      <c r="E654" s="38" t="str">
        <f t="shared" si="41"/>
        <v/>
      </c>
      <c r="G654" s="1"/>
      <c r="L654" s="39" t="str">
        <f t="shared" si="42"/>
        <v/>
      </c>
      <c r="T654" s="39" t="str">
        <f t="shared" si="43"/>
        <v/>
      </c>
    </row>
    <row r="655" spans="4:20" x14ac:dyDescent="0.25">
      <c r="D655" s="38" t="str">
        <f t="shared" si="40"/>
        <v/>
      </c>
      <c r="E655" s="38" t="str">
        <f t="shared" si="41"/>
        <v/>
      </c>
      <c r="G655" s="1"/>
      <c r="L655" s="39" t="str">
        <f t="shared" si="42"/>
        <v/>
      </c>
      <c r="T655" s="39" t="str">
        <f t="shared" si="43"/>
        <v/>
      </c>
    </row>
    <row r="656" spans="4:20" x14ac:dyDescent="0.25">
      <c r="D656" s="38" t="str">
        <f t="shared" si="40"/>
        <v/>
      </c>
      <c r="E656" s="38" t="str">
        <f t="shared" si="41"/>
        <v/>
      </c>
      <c r="G656" s="1"/>
      <c r="L656" s="39" t="str">
        <f t="shared" si="42"/>
        <v/>
      </c>
      <c r="T656" s="39" t="str">
        <f t="shared" si="43"/>
        <v/>
      </c>
    </row>
    <row r="657" spans="4:20" x14ac:dyDescent="0.25">
      <c r="D657" s="38" t="str">
        <f t="shared" si="40"/>
        <v/>
      </c>
      <c r="E657" s="38" t="str">
        <f t="shared" si="41"/>
        <v/>
      </c>
      <c r="G657" s="1"/>
      <c r="L657" s="39" t="str">
        <f t="shared" si="42"/>
        <v/>
      </c>
      <c r="T657" s="39" t="str">
        <f t="shared" si="43"/>
        <v/>
      </c>
    </row>
    <row r="658" spans="4:20" x14ac:dyDescent="0.25">
      <c r="D658" s="38" t="str">
        <f t="shared" si="40"/>
        <v/>
      </c>
      <c r="E658" s="38" t="str">
        <f t="shared" si="41"/>
        <v/>
      </c>
      <c r="G658" s="1"/>
      <c r="L658" s="39" t="str">
        <f t="shared" si="42"/>
        <v/>
      </c>
      <c r="T658" s="39" t="str">
        <f t="shared" si="43"/>
        <v/>
      </c>
    </row>
    <row r="659" spans="4:20" x14ac:dyDescent="0.25">
      <c r="D659" s="38" t="str">
        <f t="shared" si="40"/>
        <v/>
      </c>
      <c r="E659" s="38" t="str">
        <f t="shared" si="41"/>
        <v/>
      </c>
      <c r="G659" s="1"/>
      <c r="L659" s="39" t="str">
        <f t="shared" si="42"/>
        <v/>
      </c>
      <c r="T659" s="39" t="str">
        <f t="shared" si="43"/>
        <v/>
      </c>
    </row>
    <row r="660" spans="4:20" x14ac:dyDescent="0.25">
      <c r="D660" s="38" t="str">
        <f t="shared" si="40"/>
        <v/>
      </c>
      <c r="E660" s="38" t="str">
        <f t="shared" si="41"/>
        <v/>
      </c>
      <c r="G660" s="1"/>
      <c r="L660" s="39" t="str">
        <f t="shared" si="42"/>
        <v/>
      </c>
      <c r="T660" s="39" t="str">
        <f t="shared" si="43"/>
        <v/>
      </c>
    </row>
    <row r="661" spans="4:20" x14ac:dyDescent="0.25">
      <c r="D661" s="38" t="str">
        <f t="shared" si="40"/>
        <v/>
      </c>
      <c r="E661" s="38" t="str">
        <f t="shared" si="41"/>
        <v/>
      </c>
      <c r="G661" s="1"/>
      <c r="L661" s="39" t="str">
        <f t="shared" si="42"/>
        <v/>
      </c>
      <c r="T661" s="39" t="str">
        <f t="shared" si="43"/>
        <v/>
      </c>
    </row>
    <row r="662" spans="4:20" x14ac:dyDescent="0.25">
      <c r="D662" s="38" t="str">
        <f t="shared" si="40"/>
        <v/>
      </c>
      <c r="E662" s="38" t="str">
        <f t="shared" si="41"/>
        <v/>
      </c>
      <c r="G662" s="1"/>
      <c r="L662" s="39" t="str">
        <f t="shared" si="42"/>
        <v/>
      </c>
      <c r="T662" s="39" t="str">
        <f t="shared" si="43"/>
        <v/>
      </c>
    </row>
    <row r="663" spans="4:20" x14ac:dyDescent="0.25">
      <c r="D663" s="38" t="str">
        <f t="shared" si="40"/>
        <v/>
      </c>
      <c r="E663" s="38" t="str">
        <f t="shared" si="41"/>
        <v/>
      </c>
      <c r="G663" s="1"/>
      <c r="L663" s="39" t="str">
        <f t="shared" si="42"/>
        <v/>
      </c>
      <c r="T663" s="39" t="str">
        <f t="shared" si="43"/>
        <v/>
      </c>
    </row>
    <row r="664" spans="4:20" x14ac:dyDescent="0.25">
      <c r="D664" s="38" t="str">
        <f t="shared" si="40"/>
        <v/>
      </c>
      <c r="E664" s="38" t="str">
        <f t="shared" si="41"/>
        <v/>
      </c>
      <c r="G664" s="1"/>
      <c r="L664" s="39" t="str">
        <f t="shared" si="42"/>
        <v/>
      </c>
      <c r="T664" s="39" t="str">
        <f t="shared" si="43"/>
        <v/>
      </c>
    </row>
    <row r="665" spans="4:20" x14ac:dyDescent="0.25">
      <c r="D665" s="38" t="str">
        <f t="shared" si="40"/>
        <v/>
      </c>
      <c r="E665" s="38" t="str">
        <f t="shared" si="41"/>
        <v/>
      </c>
      <c r="G665" s="1"/>
      <c r="L665" s="39" t="str">
        <f t="shared" si="42"/>
        <v/>
      </c>
      <c r="T665" s="39" t="str">
        <f t="shared" si="43"/>
        <v/>
      </c>
    </row>
    <row r="666" spans="4:20" x14ac:dyDescent="0.25">
      <c r="D666" s="38" t="str">
        <f t="shared" si="40"/>
        <v/>
      </c>
      <c r="E666" s="38" t="str">
        <f t="shared" si="41"/>
        <v/>
      </c>
      <c r="G666" s="1"/>
      <c r="L666" s="39" t="str">
        <f t="shared" si="42"/>
        <v/>
      </c>
      <c r="T666" s="39" t="str">
        <f t="shared" si="43"/>
        <v/>
      </c>
    </row>
    <row r="667" spans="4:20" x14ac:dyDescent="0.25">
      <c r="D667" s="38" t="str">
        <f t="shared" si="40"/>
        <v/>
      </c>
      <c r="E667" s="38" t="str">
        <f t="shared" si="41"/>
        <v/>
      </c>
      <c r="G667" s="1"/>
      <c r="L667" s="39" t="str">
        <f t="shared" si="42"/>
        <v/>
      </c>
      <c r="T667" s="39" t="str">
        <f t="shared" si="43"/>
        <v/>
      </c>
    </row>
    <row r="668" spans="4:20" x14ac:dyDescent="0.25">
      <c r="D668" s="38" t="str">
        <f t="shared" si="40"/>
        <v/>
      </c>
      <c r="E668" s="38" t="str">
        <f t="shared" si="41"/>
        <v/>
      </c>
      <c r="G668" s="1"/>
      <c r="L668" s="39" t="str">
        <f t="shared" si="42"/>
        <v/>
      </c>
      <c r="T668" s="39" t="str">
        <f t="shared" si="43"/>
        <v/>
      </c>
    </row>
    <row r="669" spans="4:20" x14ac:dyDescent="0.25">
      <c r="D669" s="38" t="str">
        <f t="shared" si="40"/>
        <v/>
      </c>
      <c r="E669" s="38" t="str">
        <f t="shared" si="41"/>
        <v/>
      </c>
      <c r="G669" s="1"/>
      <c r="L669" s="39" t="str">
        <f t="shared" si="42"/>
        <v/>
      </c>
      <c r="T669" s="39" t="str">
        <f t="shared" si="43"/>
        <v/>
      </c>
    </row>
    <row r="670" spans="4:20" x14ac:dyDescent="0.25">
      <c r="D670" s="38" t="str">
        <f t="shared" si="40"/>
        <v/>
      </c>
      <c r="E670" s="38" t="str">
        <f t="shared" si="41"/>
        <v/>
      </c>
      <c r="G670" s="1"/>
      <c r="L670" s="39" t="str">
        <f t="shared" si="42"/>
        <v/>
      </c>
      <c r="T670" s="39" t="str">
        <f t="shared" si="43"/>
        <v/>
      </c>
    </row>
    <row r="671" spans="4:20" x14ac:dyDescent="0.25">
      <c r="D671" s="38" t="str">
        <f t="shared" si="40"/>
        <v/>
      </c>
      <c r="E671" s="38" t="str">
        <f t="shared" si="41"/>
        <v/>
      </c>
      <c r="G671" s="1"/>
      <c r="L671" s="39" t="str">
        <f t="shared" si="42"/>
        <v/>
      </c>
      <c r="T671" s="39" t="str">
        <f t="shared" si="43"/>
        <v/>
      </c>
    </row>
    <row r="672" spans="4:20" x14ac:dyDescent="0.25">
      <c r="D672" s="38" t="str">
        <f t="shared" si="40"/>
        <v/>
      </c>
      <c r="E672" s="38" t="str">
        <f t="shared" si="41"/>
        <v/>
      </c>
      <c r="G672" s="1"/>
      <c r="L672" s="39" t="str">
        <f t="shared" si="42"/>
        <v/>
      </c>
      <c r="T672" s="39" t="str">
        <f t="shared" si="43"/>
        <v/>
      </c>
    </row>
    <row r="673" spans="4:20" x14ac:dyDescent="0.25">
      <c r="D673" s="38" t="str">
        <f t="shared" si="40"/>
        <v/>
      </c>
      <c r="E673" s="38" t="str">
        <f t="shared" si="41"/>
        <v/>
      </c>
      <c r="G673" s="1"/>
      <c r="L673" s="39" t="str">
        <f t="shared" si="42"/>
        <v/>
      </c>
      <c r="T673" s="39" t="str">
        <f t="shared" si="43"/>
        <v/>
      </c>
    </row>
    <row r="674" spans="4:20" x14ac:dyDescent="0.25">
      <c r="D674" s="38" t="str">
        <f t="shared" si="40"/>
        <v/>
      </c>
      <c r="E674" s="38" t="str">
        <f t="shared" si="41"/>
        <v/>
      </c>
      <c r="G674" s="1"/>
      <c r="L674" s="39" t="str">
        <f t="shared" si="42"/>
        <v/>
      </c>
      <c r="T674" s="39" t="str">
        <f t="shared" si="43"/>
        <v/>
      </c>
    </row>
    <row r="675" spans="4:20" x14ac:dyDescent="0.25">
      <c r="D675" s="38" t="str">
        <f t="shared" si="40"/>
        <v/>
      </c>
      <c r="E675" s="38" t="str">
        <f t="shared" si="41"/>
        <v/>
      </c>
      <c r="G675" s="1"/>
      <c r="L675" s="39" t="str">
        <f t="shared" si="42"/>
        <v/>
      </c>
      <c r="T675" s="39" t="str">
        <f t="shared" si="43"/>
        <v/>
      </c>
    </row>
    <row r="676" spans="4:20" x14ac:dyDescent="0.25">
      <c r="D676" s="38" t="str">
        <f t="shared" si="40"/>
        <v/>
      </c>
      <c r="E676" s="38" t="str">
        <f t="shared" si="41"/>
        <v/>
      </c>
      <c r="G676" s="1"/>
      <c r="L676" s="39" t="str">
        <f t="shared" si="42"/>
        <v/>
      </c>
      <c r="T676" s="39" t="str">
        <f t="shared" si="43"/>
        <v/>
      </c>
    </row>
    <row r="677" spans="4:20" x14ac:dyDescent="0.25">
      <c r="D677" s="38" t="str">
        <f t="shared" si="40"/>
        <v/>
      </c>
      <c r="E677" s="38" t="str">
        <f t="shared" si="41"/>
        <v/>
      </c>
      <c r="G677" s="1"/>
      <c r="L677" s="39" t="str">
        <f t="shared" si="42"/>
        <v/>
      </c>
      <c r="T677" s="39" t="str">
        <f t="shared" si="43"/>
        <v/>
      </c>
    </row>
    <row r="678" spans="4:20" x14ac:dyDescent="0.25">
      <c r="D678" s="38" t="str">
        <f t="shared" si="40"/>
        <v/>
      </c>
      <c r="E678" s="38" t="str">
        <f t="shared" si="41"/>
        <v/>
      </c>
      <c r="G678" s="1"/>
      <c r="L678" s="39" t="str">
        <f t="shared" si="42"/>
        <v/>
      </c>
      <c r="T678" s="39" t="str">
        <f t="shared" si="43"/>
        <v/>
      </c>
    </row>
    <row r="679" spans="4:20" x14ac:dyDescent="0.25">
      <c r="D679" s="38" t="str">
        <f t="shared" si="40"/>
        <v/>
      </c>
      <c r="E679" s="38" t="str">
        <f t="shared" si="41"/>
        <v/>
      </c>
      <c r="G679" s="1"/>
      <c r="L679" s="39" t="str">
        <f t="shared" si="42"/>
        <v/>
      </c>
      <c r="T679" s="39" t="str">
        <f t="shared" si="43"/>
        <v/>
      </c>
    </row>
    <row r="680" spans="4:20" x14ac:dyDescent="0.25">
      <c r="D680" s="38" t="str">
        <f t="shared" si="40"/>
        <v/>
      </c>
      <c r="E680" s="38" t="str">
        <f t="shared" si="41"/>
        <v/>
      </c>
      <c r="G680" s="1"/>
      <c r="L680" s="39" t="str">
        <f t="shared" si="42"/>
        <v/>
      </c>
      <c r="T680" s="39" t="str">
        <f t="shared" si="43"/>
        <v/>
      </c>
    </row>
    <row r="681" spans="4:20" x14ac:dyDescent="0.25">
      <c r="D681" s="38" t="str">
        <f t="shared" si="40"/>
        <v/>
      </c>
      <c r="E681" s="38" t="str">
        <f t="shared" si="41"/>
        <v/>
      </c>
      <c r="G681" s="1"/>
      <c r="L681" s="39" t="str">
        <f t="shared" si="42"/>
        <v/>
      </c>
      <c r="T681" s="39" t="str">
        <f t="shared" si="43"/>
        <v/>
      </c>
    </row>
    <row r="682" spans="4:20" x14ac:dyDescent="0.25">
      <c r="D682" s="38" t="str">
        <f t="shared" si="40"/>
        <v/>
      </c>
      <c r="E682" s="38" t="str">
        <f t="shared" si="41"/>
        <v/>
      </c>
      <c r="G682" s="1"/>
      <c r="L682" s="39" t="str">
        <f t="shared" si="42"/>
        <v/>
      </c>
      <c r="T682" s="39" t="str">
        <f t="shared" si="43"/>
        <v/>
      </c>
    </row>
    <row r="683" spans="4:20" x14ac:dyDescent="0.25">
      <c r="D683" s="38" t="str">
        <f t="shared" si="40"/>
        <v/>
      </c>
      <c r="E683" s="38" t="str">
        <f t="shared" si="41"/>
        <v/>
      </c>
      <c r="G683" s="1"/>
      <c r="L683" s="39" t="str">
        <f t="shared" si="42"/>
        <v/>
      </c>
      <c r="T683" s="39" t="str">
        <f t="shared" si="43"/>
        <v/>
      </c>
    </row>
    <row r="684" spans="4:20" x14ac:dyDescent="0.25">
      <c r="D684" s="38" t="str">
        <f t="shared" si="40"/>
        <v/>
      </c>
      <c r="E684" s="38" t="str">
        <f t="shared" si="41"/>
        <v/>
      </c>
      <c r="G684" s="1"/>
      <c r="L684" s="39" t="str">
        <f t="shared" si="42"/>
        <v/>
      </c>
      <c r="T684" s="39" t="str">
        <f t="shared" si="43"/>
        <v/>
      </c>
    </row>
    <row r="685" spans="4:20" x14ac:dyDescent="0.25">
      <c r="D685" s="38" t="str">
        <f t="shared" si="40"/>
        <v/>
      </c>
      <c r="E685" s="38" t="str">
        <f t="shared" si="41"/>
        <v/>
      </c>
      <c r="G685" s="1"/>
      <c r="L685" s="39" t="str">
        <f t="shared" si="42"/>
        <v/>
      </c>
      <c r="T685" s="39" t="str">
        <f t="shared" si="43"/>
        <v/>
      </c>
    </row>
    <row r="686" spans="4:20" x14ac:dyDescent="0.25">
      <c r="D686" s="38" t="str">
        <f t="shared" si="40"/>
        <v/>
      </c>
      <c r="E686" s="38" t="str">
        <f t="shared" si="41"/>
        <v/>
      </c>
      <c r="G686" s="1"/>
      <c r="L686" s="39" t="str">
        <f t="shared" si="42"/>
        <v/>
      </c>
      <c r="T686" s="39" t="str">
        <f t="shared" si="43"/>
        <v/>
      </c>
    </row>
    <row r="687" spans="4:20" x14ac:dyDescent="0.25">
      <c r="D687" s="38" t="str">
        <f t="shared" si="40"/>
        <v/>
      </c>
      <c r="E687" s="38" t="str">
        <f t="shared" si="41"/>
        <v/>
      </c>
      <c r="G687" s="1"/>
      <c r="L687" s="39" t="str">
        <f t="shared" si="42"/>
        <v/>
      </c>
      <c r="T687" s="39" t="str">
        <f t="shared" si="43"/>
        <v/>
      </c>
    </row>
    <row r="688" spans="4:20" x14ac:dyDescent="0.25">
      <c r="D688" s="38" t="str">
        <f t="shared" si="40"/>
        <v/>
      </c>
      <c r="E688" s="38" t="str">
        <f t="shared" si="41"/>
        <v/>
      </c>
      <c r="G688" s="1"/>
      <c r="L688" s="39" t="str">
        <f t="shared" si="42"/>
        <v/>
      </c>
      <c r="T688" s="39" t="str">
        <f t="shared" si="43"/>
        <v/>
      </c>
    </row>
    <row r="689" spans="4:20" x14ac:dyDescent="0.25">
      <c r="D689" s="38" t="str">
        <f t="shared" si="40"/>
        <v/>
      </c>
      <c r="E689" s="38" t="str">
        <f t="shared" si="41"/>
        <v/>
      </c>
      <c r="G689" s="1"/>
      <c r="L689" s="39" t="str">
        <f t="shared" si="42"/>
        <v/>
      </c>
      <c r="T689" s="39" t="str">
        <f t="shared" si="43"/>
        <v/>
      </c>
    </row>
    <row r="690" spans="4:20" x14ac:dyDescent="0.25">
      <c r="D690" s="38" t="str">
        <f t="shared" si="40"/>
        <v/>
      </c>
      <c r="E690" s="38" t="str">
        <f t="shared" si="41"/>
        <v/>
      </c>
      <c r="G690" s="1"/>
      <c r="L690" s="39" t="str">
        <f t="shared" si="42"/>
        <v/>
      </c>
      <c r="T690" s="39" t="str">
        <f t="shared" si="43"/>
        <v/>
      </c>
    </row>
    <row r="691" spans="4:20" x14ac:dyDescent="0.25">
      <c r="D691" s="38" t="str">
        <f t="shared" si="40"/>
        <v/>
      </c>
      <c r="E691" s="38" t="str">
        <f t="shared" si="41"/>
        <v/>
      </c>
      <c r="G691" s="1"/>
      <c r="L691" s="39" t="str">
        <f t="shared" si="42"/>
        <v/>
      </c>
      <c r="T691" s="39" t="str">
        <f t="shared" si="43"/>
        <v/>
      </c>
    </row>
    <row r="692" spans="4:20" x14ac:dyDescent="0.25">
      <c r="D692" s="38" t="str">
        <f t="shared" si="40"/>
        <v/>
      </c>
      <c r="E692" s="38" t="str">
        <f t="shared" si="41"/>
        <v/>
      </c>
      <c r="G692" s="1"/>
      <c r="L692" s="39" t="str">
        <f t="shared" si="42"/>
        <v/>
      </c>
      <c r="T692" s="39" t="str">
        <f t="shared" si="43"/>
        <v/>
      </c>
    </row>
    <row r="693" spans="4:20" x14ac:dyDescent="0.25">
      <c r="D693" s="38" t="str">
        <f t="shared" si="40"/>
        <v/>
      </c>
      <c r="E693" s="38" t="str">
        <f t="shared" si="41"/>
        <v/>
      </c>
      <c r="G693" s="1"/>
      <c r="L693" s="39" t="str">
        <f t="shared" si="42"/>
        <v/>
      </c>
      <c r="T693" s="39" t="str">
        <f t="shared" si="43"/>
        <v/>
      </c>
    </row>
    <row r="694" spans="4:20" x14ac:dyDescent="0.25">
      <c r="D694" s="38" t="str">
        <f t="shared" si="40"/>
        <v/>
      </c>
      <c r="E694" s="38" t="str">
        <f t="shared" si="41"/>
        <v/>
      </c>
      <c r="G694" s="1"/>
      <c r="L694" s="39" t="str">
        <f t="shared" si="42"/>
        <v/>
      </c>
      <c r="T694" s="39" t="str">
        <f t="shared" si="43"/>
        <v/>
      </c>
    </row>
    <row r="695" spans="4:20" x14ac:dyDescent="0.25">
      <c r="D695" s="38" t="str">
        <f t="shared" si="40"/>
        <v/>
      </c>
      <c r="E695" s="38" t="str">
        <f t="shared" si="41"/>
        <v/>
      </c>
      <c r="G695" s="1"/>
      <c r="L695" s="39" t="str">
        <f t="shared" si="42"/>
        <v/>
      </c>
      <c r="T695" s="39" t="str">
        <f t="shared" si="43"/>
        <v/>
      </c>
    </row>
    <row r="696" spans="4:20" x14ac:dyDescent="0.25">
      <c r="D696" s="38" t="str">
        <f t="shared" si="40"/>
        <v/>
      </c>
      <c r="E696" s="38" t="str">
        <f t="shared" si="41"/>
        <v/>
      </c>
      <c r="G696" s="1"/>
      <c r="L696" s="39" t="str">
        <f t="shared" si="42"/>
        <v/>
      </c>
      <c r="T696" s="39" t="str">
        <f t="shared" si="43"/>
        <v/>
      </c>
    </row>
    <row r="697" spans="4:20" x14ac:dyDescent="0.25">
      <c r="D697" s="38" t="str">
        <f t="shared" si="40"/>
        <v/>
      </c>
      <c r="E697" s="38" t="str">
        <f t="shared" si="41"/>
        <v/>
      </c>
      <c r="G697" s="1"/>
      <c r="L697" s="39" t="str">
        <f t="shared" si="42"/>
        <v/>
      </c>
      <c r="T697" s="39" t="str">
        <f t="shared" si="43"/>
        <v/>
      </c>
    </row>
    <row r="698" spans="4:20" x14ac:dyDescent="0.25">
      <c r="D698" s="38" t="str">
        <f t="shared" si="40"/>
        <v/>
      </c>
      <c r="E698" s="38" t="str">
        <f t="shared" si="41"/>
        <v/>
      </c>
      <c r="G698" s="1"/>
      <c r="L698" s="39" t="str">
        <f t="shared" si="42"/>
        <v/>
      </c>
      <c r="T698" s="39" t="str">
        <f t="shared" si="43"/>
        <v/>
      </c>
    </row>
    <row r="699" spans="4:20" x14ac:dyDescent="0.25">
      <c r="D699" s="38" t="str">
        <f t="shared" si="40"/>
        <v/>
      </c>
      <c r="E699" s="38" t="str">
        <f t="shared" si="41"/>
        <v/>
      </c>
      <c r="G699" s="1"/>
      <c r="L699" s="39" t="str">
        <f t="shared" si="42"/>
        <v/>
      </c>
      <c r="T699" s="39" t="str">
        <f t="shared" si="43"/>
        <v/>
      </c>
    </row>
    <row r="700" spans="4:20" x14ac:dyDescent="0.25">
      <c r="D700" s="38" t="str">
        <f t="shared" si="40"/>
        <v/>
      </c>
      <c r="E700" s="38" t="str">
        <f t="shared" si="41"/>
        <v/>
      </c>
      <c r="G700" s="1"/>
      <c r="L700" s="39" t="str">
        <f t="shared" si="42"/>
        <v/>
      </c>
      <c r="T700" s="39" t="str">
        <f t="shared" si="43"/>
        <v/>
      </c>
    </row>
    <row r="701" spans="4:20" x14ac:dyDescent="0.25">
      <c r="D701" s="38" t="str">
        <f t="shared" si="40"/>
        <v/>
      </c>
      <c r="E701" s="38" t="str">
        <f t="shared" si="41"/>
        <v/>
      </c>
      <c r="G701" s="1"/>
      <c r="L701" s="39" t="str">
        <f t="shared" si="42"/>
        <v/>
      </c>
      <c r="T701" s="39" t="str">
        <f t="shared" si="43"/>
        <v/>
      </c>
    </row>
    <row r="702" spans="4:20" x14ac:dyDescent="0.25">
      <c r="D702" s="38" t="str">
        <f t="shared" si="40"/>
        <v/>
      </c>
      <c r="E702" s="38" t="str">
        <f t="shared" si="41"/>
        <v/>
      </c>
      <c r="G702" s="1"/>
      <c r="L702" s="39" t="str">
        <f t="shared" si="42"/>
        <v/>
      </c>
      <c r="T702" s="39" t="str">
        <f t="shared" si="43"/>
        <v/>
      </c>
    </row>
    <row r="703" spans="4:20" x14ac:dyDescent="0.25">
      <c r="D703" s="38" t="str">
        <f t="shared" si="40"/>
        <v/>
      </c>
      <c r="E703" s="38" t="str">
        <f t="shared" si="41"/>
        <v/>
      </c>
      <c r="G703" s="1"/>
      <c r="L703" s="39" t="str">
        <f t="shared" si="42"/>
        <v/>
      </c>
      <c r="T703" s="39" t="str">
        <f t="shared" si="43"/>
        <v/>
      </c>
    </row>
    <row r="704" spans="4:20" x14ac:dyDescent="0.25">
      <c r="D704" s="38" t="str">
        <f t="shared" si="40"/>
        <v/>
      </c>
      <c r="E704" s="38" t="str">
        <f t="shared" si="41"/>
        <v/>
      </c>
      <c r="G704" s="1"/>
      <c r="L704" s="39" t="str">
        <f t="shared" si="42"/>
        <v/>
      </c>
      <c r="T704" s="39" t="str">
        <f t="shared" si="43"/>
        <v/>
      </c>
    </row>
    <row r="705" spans="4:20" x14ac:dyDescent="0.25">
      <c r="D705" s="38" t="str">
        <f t="shared" si="40"/>
        <v/>
      </c>
      <c r="E705" s="38" t="str">
        <f t="shared" si="41"/>
        <v/>
      </c>
      <c r="G705" s="1"/>
      <c r="L705" s="39" t="str">
        <f t="shared" si="42"/>
        <v/>
      </c>
      <c r="T705" s="39" t="str">
        <f t="shared" si="43"/>
        <v/>
      </c>
    </row>
    <row r="706" spans="4:20" x14ac:dyDescent="0.25">
      <c r="D706" s="38" t="str">
        <f t="shared" ref="D706:D769" si="44">IF($B706="", "", CHOOSE(MONTH($B706), "Gennaio","Febbraio","Marzo","Aprile","Maggio","Giugno","Luglio","Agosto","Settembre","Ottobre","Novembre","Dicembre"))</f>
        <v/>
      </c>
      <c r="E706" s="38" t="str">
        <f t="shared" ref="E706:E769" si="45">IF($B706="", "", CHOOSE(WEEKDAY($B706,2), "Lunedì","Martedì","Mercoledì","Giovedì","Venerdì","Sabato","Domenica"))</f>
        <v/>
      </c>
      <c r="G706" s="1"/>
      <c r="L706" s="39" t="str">
        <f t="shared" ref="L706:L769" si="46">IF($K706="Target", $G706*$H706, IF($K706="Stop Loss", -$G706, IF($K706="Breakeven", 0, "")))</f>
        <v/>
      </c>
      <c r="T706" s="39" t="str">
        <f t="shared" si="43"/>
        <v/>
      </c>
    </row>
    <row r="707" spans="4:20" x14ac:dyDescent="0.25">
      <c r="D707" s="38" t="str">
        <f t="shared" si="44"/>
        <v/>
      </c>
      <c r="E707" s="38" t="str">
        <f t="shared" si="45"/>
        <v/>
      </c>
      <c r="G707" s="1"/>
      <c r="L707" s="39" t="str">
        <f t="shared" si="46"/>
        <v/>
      </c>
      <c r="T707" s="39" t="str">
        <f t="shared" ref="T707:T770" si="47">IF($L707="", "", $T706 + $L707)</f>
        <v/>
      </c>
    </row>
    <row r="708" spans="4:20" x14ac:dyDescent="0.25">
      <c r="D708" s="38" t="str">
        <f t="shared" si="44"/>
        <v/>
      </c>
      <c r="E708" s="38" t="str">
        <f t="shared" si="45"/>
        <v/>
      </c>
      <c r="G708" s="1"/>
      <c r="L708" s="39" t="str">
        <f t="shared" si="46"/>
        <v/>
      </c>
      <c r="T708" s="39" t="str">
        <f t="shared" si="47"/>
        <v/>
      </c>
    </row>
    <row r="709" spans="4:20" x14ac:dyDescent="0.25">
      <c r="D709" s="38" t="str">
        <f t="shared" si="44"/>
        <v/>
      </c>
      <c r="E709" s="38" t="str">
        <f t="shared" si="45"/>
        <v/>
      </c>
      <c r="G709" s="1"/>
      <c r="L709" s="39" t="str">
        <f t="shared" si="46"/>
        <v/>
      </c>
      <c r="T709" s="39" t="str">
        <f t="shared" si="47"/>
        <v/>
      </c>
    </row>
    <row r="710" spans="4:20" x14ac:dyDescent="0.25">
      <c r="D710" s="38" t="str">
        <f t="shared" si="44"/>
        <v/>
      </c>
      <c r="E710" s="38" t="str">
        <f t="shared" si="45"/>
        <v/>
      </c>
      <c r="G710" s="1"/>
      <c r="L710" s="39" t="str">
        <f t="shared" si="46"/>
        <v/>
      </c>
      <c r="T710" s="39" t="str">
        <f t="shared" si="47"/>
        <v/>
      </c>
    </row>
    <row r="711" spans="4:20" x14ac:dyDescent="0.25">
      <c r="D711" s="38" t="str">
        <f t="shared" si="44"/>
        <v/>
      </c>
      <c r="E711" s="38" t="str">
        <f t="shared" si="45"/>
        <v/>
      </c>
      <c r="G711" s="1"/>
      <c r="L711" s="39" t="str">
        <f t="shared" si="46"/>
        <v/>
      </c>
      <c r="T711" s="39" t="str">
        <f t="shared" si="47"/>
        <v/>
      </c>
    </row>
    <row r="712" spans="4:20" x14ac:dyDescent="0.25">
      <c r="D712" s="38" t="str">
        <f t="shared" si="44"/>
        <v/>
      </c>
      <c r="E712" s="38" t="str">
        <f t="shared" si="45"/>
        <v/>
      </c>
      <c r="G712" s="1"/>
      <c r="L712" s="39" t="str">
        <f t="shared" si="46"/>
        <v/>
      </c>
      <c r="T712" s="39" t="str">
        <f t="shared" si="47"/>
        <v/>
      </c>
    </row>
    <row r="713" spans="4:20" x14ac:dyDescent="0.25">
      <c r="D713" s="38" t="str">
        <f t="shared" si="44"/>
        <v/>
      </c>
      <c r="E713" s="38" t="str">
        <f t="shared" si="45"/>
        <v/>
      </c>
      <c r="G713" s="1"/>
      <c r="L713" s="39" t="str">
        <f t="shared" si="46"/>
        <v/>
      </c>
      <c r="T713" s="39" t="str">
        <f t="shared" si="47"/>
        <v/>
      </c>
    </row>
    <row r="714" spans="4:20" x14ac:dyDescent="0.25">
      <c r="D714" s="38" t="str">
        <f t="shared" si="44"/>
        <v/>
      </c>
      <c r="E714" s="38" t="str">
        <f t="shared" si="45"/>
        <v/>
      </c>
      <c r="G714" s="1"/>
      <c r="L714" s="39" t="str">
        <f t="shared" si="46"/>
        <v/>
      </c>
      <c r="T714" s="39" t="str">
        <f t="shared" si="47"/>
        <v/>
      </c>
    </row>
    <row r="715" spans="4:20" x14ac:dyDescent="0.25">
      <c r="D715" s="38" t="str">
        <f t="shared" si="44"/>
        <v/>
      </c>
      <c r="E715" s="38" t="str">
        <f t="shared" si="45"/>
        <v/>
      </c>
      <c r="G715" s="1"/>
      <c r="L715" s="39" t="str">
        <f t="shared" si="46"/>
        <v/>
      </c>
      <c r="T715" s="39" t="str">
        <f t="shared" si="47"/>
        <v/>
      </c>
    </row>
    <row r="716" spans="4:20" x14ac:dyDescent="0.25">
      <c r="D716" s="38" t="str">
        <f t="shared" si="44"/>
        <v/>
      </c>
      <c r="E716" s="38" t="str">
        <f t="shared" si="45"/>
        <v/>
      </c>
      <c r="G716" s="1"/>
      <c r="L716" s="39" t="str">
        <f t="shared" si="46"/>
        <v/>
      </c>
      <c r="T716" s="39" t="str">
        <f t="shared" si="47"/>
        <v/>
      </c>
    </row>
    <row r="717" spans="4:20" x14ac:dyDescent="0.25">
      <c r="D717" s="38" t="str">
        <f t="shared" si="44"/>
        <v/>
      </c>
      <c r="E717" s="38" t="str">
        <f t="shared" si="45"/>
        <v/>
      </c>
      <c r="G717" s="1"/>
      <c r="L717" s="39" t="str">
        <f t="shared" si="46"/>
        <v/>
      </c>
      <c r="T717" s="39" t="str">
        <f t="shared" si="47"/>
        <v/>
      </c>
    </row>
    <row r="718" spans="4:20" x14ac:dyDescent="0.25">
      <c r="D718" s="38" t="str">
        <f t="shared" si="44"/>
        <v/>
      </c>
      <c r="E718" s="38" t="str">
        <f t="shared" si="45"/>
        <v/>
      </c>
      <c r="G718" s="1"/>
      <c r="L718" s="39" t="str">
        <f t="shared" si="46"/>
        <v/>
      </c>
      <c r="T718" s="39" t="str">
        <f t="shared" si="47"/>
        <v/>
      </c>
    </row>
    <row r="719" spans="4:20" x14ac:dyDescent="0.25">
      <c r="D719" s="38" t="str">
        <f t="shared" si="44"/>
        <v/>
      </c>
      <c r="E719" s="38" t="str">
        <f t="shared" si="45"/>
        <v/>
      </c>
      <c r="G719" s="1"/>
      <c r="L719" s="39" t="str">
        <f t="shared" si="46"/>
        <v/>
      </c>
      <c r="T719" s="39" t="str">
        <f t="shared" si="47"/>
        <v/>
      </c>
    </row>
    <row r="720" spans="4:20" x14ac:dyDescent="0.25">
      <c r="D720" s="38" t="str">
        <f t="shared" si="44"/>
        <v/>
      </c>
      <c r="E720" s="38" t="str">
        <f t="shared" si="45"/>
        <v/>
      </c>
      <c r="G720" s="1"/>
      <c r="L720" s="39" t="str">
        <f t="shared" si="46"/>
        <v/>
      </c>
      <c r="T720" s="39" t="str">
        <f t="shared" si="47"/>
        <v/>
      </c>
    </row>
    <row r="721" spans="4:20" x14ac:dyDescent="0.25">
      <c r="D721" s="38" t="str">
        <f t="shared" si="44"/>
        <v/>
      </c>
      <c r="E721" s="38" t="str">
        <f t="shared" si="45"/>
        <v/>
      </c>
      <c r="G721" s="1"/>
      <c r="L721" s="39" t="str">
        <f t="shared" si="46"/>
        <v/>
      </c>
      <c r="T721" s="39" t="str">
        <f t="shared" si="47"/>
        <v/>
      </c>
    </row>
    <row r="722" spans="4:20" x14ac:dyDescent="0.25">
      <c r="D722" s="38" t="str">
        <f t="shared" si="44"/>
        <v/>
      </c>
      <c r="E722" s="38" t="str">
        <f t="shared" si="45"/>
        <v/>
      </c>
      <c r="G722" s="1"/>
      <c r="L722" s="39" t="str">
        <f t="shared" si="46"/>
        <v/>
      </c>
      <c r="T722" s="39" t="str">
        <f t="shared" si="47"/>
        <v/>
      </c>
    </row>
    <row r="723" spans="4:20" x14ac:dyDescent="0.25">
      <c r="D723" s="38" t="str">
        <f t="shared" si="44"/>
        <v/>
      </c>
      <c r="E723" s="38" t="str">
        <f t="shared" si="45"/>
        <v/>
      </c>
      <c r="G723" s="1"/>
      <c r="L723" s="39" t="str">
        <f t="shared" si="46"/>
        <v/>
      </c>
      <c r="T723" s="39" t="str">
        <f t="shared" si="47"/>
        <v/>
      </c>
    </row>
    <row r="724" spans="4:20" x14ac:dyDescent="0.25">
      <c r="D724" s="38" t="str">
        <f t="shared" si="44"/>
        <v/>
      </c>
      <c r="E724" s="38" t="str">
        <f t="shared" si="45"/>
        <v/>
      </c>
      <c r="G724" s="1"/>
      <c r="L724" s="39" t="str">
        <f t="shared" si="46"/>
        <v/>
      </c>
      <c r="T724" s="39" t="str">
        <f t="shared" si="47"/>
        <v/>
      </c>
    </row>
    <row r="725" spans="4:20" x14ac:dyDescent="0.25">
      <c r="D725" s="38" t="str">
        <f t="shared" si="44"/>
        <v/>
      </c>
      <c r="E725" s="38" t="str">
        <f t="shared" si="45"/>
        <v/>
      </c>
      <c r="G725" s="1"/>
      <c r="L725" s="39" t="str">
        <f t="shared" si="46"/>
        <v/>
      </c>
      <c r="T725" s="39" t="str">
        <f t="shared" si="47"/>
        <v/>
      </c>
    </row>
    <row r="726" spans="4:20" x14ac:dyDescent="0.25">
      <c r="D726" s="38" t="str">
        <f t="shared" si="44"/>
        <v/>
      </c>
      <c r="E726" s="38" t="str">
        <f t="shared" si="45"/>
        <v/>
      </c>
      <c r="G726" s="1"/>
      <c r="L726" s="39" t="str">
        <f t="shared" si="46"/>
        <v/>
      </c>
      <c r="T726" s="39" t="str">
        <f t="shared" si="47"/>
        <v/>
      </c>
    </row>
    <row r="727" spans="4:20" x14ac:dyDescent="0.25">
      <c r="D727" s="38" t="str">
        <f t="shared" si="44"/>
        <v/>
      </c>
      <c r="E727" s="38" t="str">
        <f t="shared" si="45"/>
        <v/>
      </c>
      <c r="G727" s="1"/>
      <c r="L727" s="39" t="str">
        <f t="shared" si="46"/>
        <v/>
      </c>
      <c r="T727" s="39" t="str">
        <f t="shared" si="47"/>
        <v/>
      </c>
    </row>
    <row r="728" spans="4:20" x14ac:dyDescent="0.25">
      <c r="D728" s="38" t="str">
        <f t="shared" si="44"/>
        <v/>
      </c>
      <c r="E728" s="38" t="str">
        <f t="shared" si="45"/>
        <v/>
      </c>
      <c r="G728" s="1"/>
      <c r="L728" s="39" t="str">
        <f t="shared" si="46"/>
        <v/>
      </c>
      <c r="T728" s="39" t="str">
        <f t="shared" si="47"/>
        <v/>
      </c>
    </row>
    <row r="729" spans="4:20" x14ac:dyDescent="0.25">
      <c r="D729" s="38" t="str">
        <f t="shared" si="44"/>
        <v/>
      </c>
      <c r="E729" s="38" t="str">
        <f t="shared" si="45"/>
        <v/>
      </c>
      <c r="G729" s="1"/>
      <c r="L729" s="39" t="str">
        <f t="shared" si="46"/>
        <v/>
      </c>
      <c r="T729" s="39" t="str">
        <f t="shared" si="47"/>
        <v/>
      </c>
    </row>
    <row r="730" spans="4:20" x14ac:dyDescent="0.25">
      <c r="D730" s="38" t="str">
        <f t="shared" si="44"/>
        <v/>
      </c>
      <c r="E730" s="38" t="str">
        <f t="shared" si="45"/>
        <v/>
      </c>
      <c r="G730" s="1"/>
      <c r="L730" s="39" t="str">
        <f t="shared" si="46"/>
        <v/>
      </c>
      <c r="T730" s="39" t="str">
        <f t="shared" si="47"/>
        <v/>
      </c>
    </row>
    <row r="731" spans="4:20" x14ac:dyDescent="0.25">
      <c r="D731" s="38" t="str">
        <f t="shared" si="44"/>
        <v/>
      </c>
      <c r="E731" s="38" t="str">
        <f t="shared" si="45"/>
        <v/>
      </c>
      <c r="G731" s="1"/>
      <c r="L731" s="39" t="str">
        <f t="shared" si="46"/>
        <v/>
      </c>
      <c r="T731" s="39" t="str">
        <f t="shared" si="47"/>
        <v/>
      </c>
    </row>
    <row r="732" spans="4:20" x14ac:dyDescent="0.25">
      <c r="D732" s="38" t="str">
        <f t="shared" si="44"/>
        <v/>
      </c>
      <c r="E732" s="38" t="str">
        <f t="shared" si="45"/>
        <v/>
      </c>
      <c r="G732" s="1"/>
      <c r="L732" s="39" t="str">
        <f t="shared" si="46"/>
        <v/>
      </c>
      <c r="T732" s="39" t="str">
        <f t="shared" si="47"/>
        <v/>
      </c>
    </row>
    <row r="733" spans="4:20" x14ac:dyDescent="0.25">
      <c r="D733" s="38" t="str">
        <f t="shared" si="44"/>
        <v/>
      </c>
      <c r="E733" s="38" t="str">
        <f t="shared" si="45"/>
        <v/>
      </c>
      <c r="G733" s="1"/>
      <c r="L733" s="39" t="str">
        <f t="shared" si="46"/>
        <v/>
      </c>
      <c r="T733" s="39" t="str">
        <f t="shared" si="47"/>
        <v/>
      </c>
    </row>
    <row r="734" spans="4:20" x14ac:dyDescent="0.25">
      <c r="D734" s="38" t="str">
        <f t="shared" si="44"/>
        <v/>
      </c>
      <c r="E734" s="38" t="str">
        <f t="shared" si="45"/>
        <v/>
      </c>
      <c r="G734" s="1"/>
      <c r="L734" s="39" t="str">
        <f t="shared" si="46"/>
        <v/>
      </c>
      <c r="T734" s="39" t="str">
        <f t="shared" si="47"/>
        <v/>
      </c>
    </row>
    <row r="735" spans="4:20" x14ac:dyDescent="0.25">
      <c r="D735" s="38" t="str">
        <f t="shared" si="44"/>
        <v/>
      </c>
      <c r="E735" s="38" t="str">
        <f t="shared" si="45"/>
        <v/>
      </c>
      <c r="G735" s="1"/>
      <c r="L735" s="39" t="str">
        <f t="shared" si="46"/>
        <v/>
      </c>
      <c r="T735" s="39" t="str">
        <f t="shared" si="47"/>
        <v/>
      </c>
    </row>
    <row r="736" spans="4:20" x14ac:dyDescent="0.25">
      <c r="D736" s="38" t="str">
        <f t="shared" si="44"/>
        <v/>
      </c>
      <c r="E736" s="38" t="str">
        <f t="shared" si="45"/>
        <v/>
      </c>
      <c r="G736" s="1"/>
      <c r="L736" s="39" t="str">
        <f t="shared" si="46"/>
        <v/>
      </c>
      <c r="T736" s="39" t="str">
        <f t="shared" si="47"/>
        <v/>
      </c>
    </row>
    <row r="737" spans="4:20" x14ac:dyDescent="0.25">
      <c r="D737" s="38" t="str">
        <f t="shared" si="44"/>
        <v/>
      </c>
      <c r="E737" s="38" t="str">
        <f t="shared" si="45"/>
        <v/>
      </c>
      <c r="G737" s="1"/>
      <c r="L737" s="39" t="str">
        <f t="shared" si="46"/>
        <v/>
      </c>
      <c r="T737" s="39" t="str">
        <f t="shared" si="47"/>
        <v/>
      </c>
    </row>
    <row r="738" spans="4:20" x14ac:dyDescent="0.25">
      <c r="D738" s="38" t="str">
        <f t="shared" si="44"/>
        <v/>
      </c>
      <c r="E738" s="38" t="str">
        <f t="shared" si="45"/>
        <v/>
      </c>
      <c r="G738" s="1"/>
      <c r="L738" s="39" t="str">
        <f t="shared" si="46"/>
        <v/>
      </c>
      <c r="T738" s="39" t="str">
        <f t="shared" si="47"/>
        <v/>
      </c>
    </row>
    <row r="739" spans="4:20" x14ac:dyDescent="0.25">
      <c r="D739" s="38" t="str">
        <f t="shared" si="44"/>
        <v/>
      </c>
      <c r="E739" s="38" t="str">
        <f t="shared" si="45"/>
        <v/>
      </c>
      <c r="G739" s="1"/>
      <c r="L739" s="39" t="str">
        <f t="shared" si="46"/>
        <v/>
      </c>
      <c r="T739" s="39" t="str">
        <f t="shared" si="47"/>
        <v/>
      </c>
    </row>
    <row r="740" spans="4:20" x14ac:dyDescent="0.25">
      <c r="D740" s="38" t="str">
        <f t="shared" si="44"/>
        <v/>
      </c>
      <c r="E740" s="38" t="str">
        <f t="shared" si="45"/>
        <v/>
      </c>
      <c r="G740" s="1"/>
      <c r="L740" s="39" t="str">
        <f t="shared" si="46"/>
        <v/>
      </c>
      <c r="T740" s="39" t="str">
        <f t="shared" si="47"/>
        <v/>
      </c>
    </row>
    <row r="741" spans="4:20" x14ac:dyDescent="0.25">
      <c r="D741" s="38" t="str">
        <f t="shared" si="44"/>
        <v/>
      </c>
      <c r="E741" s="38" t="str">
        <f t="shared" si="45"/>
        <v/>
      </c>
      <c r="G741" s="1"/>
      <c r="L741" s="39" t="str">
        <f t="shared" si="46"/>
        <v/>
      </c>
      <c r="T741" s="39" t="str">
        <f t="shared" si="47"/>
        <v/>
      </c>
    </row>
    <row r="742" spans="4:20" x14ac:dyDescent="0.25">
      <c r="D742" s="38" t="str">
        <f t="shared" si="44"/>
        <v/>
      </c>
      <c r="E742" s="38" t="str">
        <f t="shared" si="45"/>
        <v/>
      </c>
      <c r="G742" s="1"/>
      <c r="L742" s="39" t="str">
        <f t="shared" si="46"/>
        <v/>
      </c>
      <c r="T742" s="39" t="str">
        <f t="shared" si="47"/>
        <v/>
      </c>
    </row>
    <row r="743" spans="4:20" x14ac:dyDescent="0.25">
      <c r="D743" s="38" t="str">
        <f t="shared" si="44"/>
        <v/>
      </c>
      <c r="E743" s="38" t="str">
        <f t="shared" si="45"/>
        <v/>
      </c>
      <c r="G743" s="1"/>
      <c r="L743" s="39" t="str">
        <f t="shared" si="46"/>
        <v/>
      </c>
      <c r="T743" s="39" t="str">
        <f t="shared" si="47"/>
        <v/>
      </c>
    </row>
    <row r="744" spans="4:20" x14ac:dyDescent="0.25">
      <c r="D744" s="38" t="str">
        <f t="shared" si="44"/>
        <v/>
      </c>
      <c r="E744" s="38" t="str">
        <f t="shared" si="45"/>
        <v/>
      </c>
      <c r="G744" s="1"/>
      <c r="L744" s="39" t="str">
        <f t="shared" si="46"/>
        <v/>
      </c>
      <c r="T744" s="39" t="str">
        <f t="shared" si="47"/>
        <v/>
      </c>
    </row>
    <row r="745" spans="4:20" x14ac:dyDescent="0.25">
      <c r="D745" s="38" t="str">
        <f t="shared" si="44"/>
        <v/>
      </c>
      <c r="E745" s="38" t="str">
        <f t="shared" si="45"/>
        <v/>
      </c>
      <c r="G745" s="1"/>
      <c r="L745" s="39" t="str">
        <f t="shared" si="46"/>
        <v/>
      </c>
      <c r="T745" s="39" t="str">
        <f t="shared" si="47"/>
        <v/>
      </c>
    </row>
    <row r="746" spans="4:20" x14ac:dyDescent="0.25">
      <c r="D746" s="38" t="str">
        <f t="shared" si="44"/>
        <v/>
      </c>
      <c r="E746" s="38" t="str">
        <f t="shared" si="45"/>
        <v/>
      </c>
      <c r="G746" s="1"/>
      <c r="L746" s="39" t="str">
        <f t="shared" si="46"/>
        <v/>
      </c>
      <c r="T746" s="39" t="str">
        <f t="shared" si="47"/>
        <v/>
      </c>
    </row>
    <row r="747" spans="4:20" x14ac:dyDescent="0.25">
      <c r="D747" s="38" t="str">
        <f t="shared" si="44"/>
        <v/>
      </c>
      <c r="E747" s="38" t="str">
        <f t="shared" si="45"/>
        <v/>
      </c>
      <c r="G747" s="1"/>
      <c r="L747" s="39" t="str">
        <f t="shared" si="46"/>
        <v/>
      </c>
      <c r="T747" s="39" t="str">
        <f t="shared" si="47"/>
        <v/>
      </c>
    </row>
    <row r="748" spans="4:20" x14ac:dyDescent="0.25">
      <c r="D748" s="38" t="str">
        <f t="shared" si="44"/>
        <v/>
      </c>
      <c r="E748" s="38" t="str">
        <f t="shared" si="45"/>
        <v/>
      </c>
      <c r="G748" s="1"/>
      <c r="L748" s="39" t="str">
        <f t="shared" si="46"/>
        <v/>
      </c>
      <c r="T748" s="39" t="str">
        <f t="shared" si="47"/>
        <v/>
      </c>
    </row>
    <row r="749" spans="4:20" x14ac:dyDescent="0.25">
      <c r="D749" s="38" t="str">
        <f t="shared" si="44"/>
        <v/>
      </c>
      <c r="E749" s="38" t="str">
        <f t="shared" si="45"/>
        <v/>
      </c>
      <c r="G749" s="1"/>
      <c r="L749" s="39" t="str">
        <f t="shared" si="46"/>
        <v/>
      </c>
      <c r="T749" s="39" t="str">
        <f t="shared" si="47"/>
        <v/>
      </c>
    </row>
    <row r="750" spans="4:20" x14ac:dyDescent="0.25">
      <c r="D750" s="38" t="str">
        <f t="shared" si="44"/>
        <v/>
      </c>
      <c r="E750" s="38" t="str">
        <f t="shared" si="45"/>
        <v/>
      </c>
      <c r="G750" s="1"/>
      <c r="L750" s="39" t="str">
        <f t="shared" si="46"/>
        <v/>
      </c>
      <c r="T750" s="39" t="str">
        <f t="shared" si="47"/>
        <v/>
      </c>
    </row>
    <row r="751" spans="4:20" x14ac:dyDescent="0.25">
      <c r="D751" s="38" t="str">
        <f t="shared" si="44"/>
        <v/>
      </c>
      <c r="E751" s="38" t="str">
        <f t="shared" si="45"/>
        <v/>
      </c>
      <c r="G751" s="1"/>
      <c r="L751" s="39" t="str">
        <f t="shared" si="46"/>
        <v/>
      </c>
      <c r="T751" s="39" t="str">
        <f t="shared" si="47"/>
        <v/>
      </c>
    </row>
    <row r="752" spans="4:20" x14ac:dyDescent="0.25">
      <c r="D752" s="38" t="str">
        <f t="shared" si="44"/>
        <v/>
      </c>
      <c r="E752" s="38" t="str">
        <f t="shared" si="45"/>
        <v/>
      </c>
      <c r="G752" s="1"/>
      <c r="L752" s="39" t="str">
        <f t="shared" si="46"/>
        <v/>
      </c>
      <c r="T752" s="39" t="str">
        <f t="shared" si="47"/>
        <v/>
      </c>
    </row>
    <row r="753" spans="4:20" x14ac:dyDescent="0.25">
      <c r="D753" s="38" t="str">
        <f t="shared" si="44"/>
        <v/>
      </c>
      <c r="E753" s="38" t="str">
        <f t="shared" si="45"/>
        <v/>
      </c>
      <c r="G753" s="1"/>
      <c r="L753" s="39" t="str">
        <f t="shared" si="46"/>
        <v/>
      </c>
      <c r="T753" s="39" t="str">
        <f t="shared" si="47"/>
        <v/>
      </c>
    </row>
    <row r="754" spans="4:20" x14ac:dyDescent="0.25">
      <c r="D754" s="38" t="str">
        <f t="shared" si="44"/>
        <v/>
      </c>
      <c r="E754" s="38" t="str">
        <f t="shared" si="45"/>
        <v/>
      </c>
      <c r="G754" s="1"/>
      <c r="L754" s="39" t="str">
        <f t="shared" si="46"/>
        <v/>
      </c>
      <c r="T754" s="39" t="str">
        <f t="shared" si="47"/>
        <v/>
      </c>
    </row>
    <row r="755" spans="4:20" x14ac:dyDescent="0.25">
      <c r="D755" s="38" t="str">
        <f t="shared" si="44"/>
        <v/>
      </c>
      <c r="E755" s="38" t="str">
        <f t="shared" si="45"/>
        <v/>
      </c>
      <c r="G755" s="1"/>
      <c r="L755" s="39" t="str">
        <f t="shared" si="46"/>
        <v/>
      </c>
      <c r="T755" s="39" t="str">
        <f t="shared" si="47"/>
        <v/>
      </c>
    </row>
    <row r="756" spans="4:20" x14ac:dyDescent="0.25">
      <c r="D756" s="38" t="str">
        <f t="shared" si="44"/>
        <v/>
      </c>
      <c r="E756" s="38" t="str">
        <f t="shared" si="45"/>
        <v/>
      </c>
      <c r="G756" s="1"/>
      <c r="L756" s="39" t="str">
        <f t="shared" si="46"/>
        <v/>
      </c>
      <c r="T756" s="39" t="str">
        <f t="shared" si="47"/>
        <v/>
      </c>
    </row>
    <row r="757" spans="4:20" x14ac:dyDescent="0.25">
      <c r="D757" s="38" t="str">
        <f t="shared" si="44"/>
        <v/>
      </c>
      <c r="E757" s="38" t="str">
        <f t="shared" si="45"/>
        <v/>
      </c>
      <c r="G757" s="1"/>
      <c r="L757" s="39" t="str">
        <f t="shared" si="46"/>
        <v/>
      </c>
      <c r="T757" s="39" t="str">
        <f t="shared" si="47"/>
        <v/>
      </c>
    </row>
    <row r="758" spans="4:20" x14ac:dyDescent="0.25">
      <c r="D758" s="38" t="str">
        <f t="shared" si="44"/>
        <v/>
      </c>
      <c r="E758" s="38" t="str">
        <f t="shared" si="45"/>
        <v/>
      </c>
      <c r="G758" s="1"/>
      <c r="L758" s="39" t="str">
        <f t="shared" si="46"/>
        <v/>
      </c>
      <c r="T758" s="39" t="str">
        <f t="shared" si="47"/>
        <v/>
      </c>
    </row>
    <row r="759" spans="4:20" x14ac:dyDescent="0.25">
      <c r="D759" s="38" t="str">
        <f t="shared" si="44"/>
        <v/>
      </c>
      <c r="E759" s="38" t="str">
        <f t="shared" si="45"/>
        <v/>
      </c>
      <c r="G759" s="1"/>
      <c r="L759" s="39" t="str">
        <f t="shared" si="46"/>
        <v/>
      </c>
      <c r="T759" s="39" t="str">
        <f t="shared" si="47"/>
        <v/>
      </c>
    </row>
    <row r="760" spans="4:20" x14ac:dyDescent="0.25">
      <c r="D760" s="38" t="str">
        <f t="shared" si="44"/>
        <v/>
      </c>
      <c r="E760" s="38" t="str">
        <f t="shared" si="45"/>
        <v/>
      </c>
      <c r="G760" s="1"/>
      <c r="L760" s="39" t="str">
        <f t="shared" si="46"/>
        <v/>
      </c>
      <c r="T760" s="39" t="str">
        <f t="shared" si="47"/>
        <v/>
      </c>
    </row>
    <row r="761" spans="4:20" x14ac:dyDescent="0.25">
      <c r="D761" s="38" t="str">
        <f t="shared" si="44"/>
        <v/>
      </c>
      <c r="E761" s="38" t="str">
        <f t="shared" si="45"/>
        <v/>
      </c>
      <c r="G761" s="1"/>
      <c r="L761" s="39" t="str">
        <f t="shared" si="46"/>
        <v/>
      </c>
      <c r="T761" s="39" t="str">
        <f t="shared" si="47"/>
        <v/>
      </c>
    </row>
    <row r="762" spans="4:20" x14ac:dyDescent="0.25">
      <c r="D762" s="38" t="str">
        <f t="shared" si="44"/>
        <v/>
      </c>
      <c r="E762" s="38" t="str">
        <f t="shared" si="45"/>
        <v/>
      </c>
      <c r="G762" s="1"/>
      <c r="L762" s="39" t="str">
        <f t="shared" si="46"/>
        <v/>
      </c>
      <c r="T762" s="39" t="str">
        <f t="shared" si="47"/>
        <v/>
      </c>
    </row>
    <row r="763" spans="4:20" x14ac:dyDescent="0.25">
      <c r="D763" s="38" t="str">
        <f t="shared" si="44"/>
        <v/>
      </c>
      <c r="E763" s="38" t="str">
        <f t="shared" si="45"/>
        <v/>
      </c>
      <c r="G763" s="1"/>
      <c r="L763" s="39" t="str">
        <f t="shared" si="46"/>
        <v/>
      </c>
      <c r="T763" s="39" t="str">
        <f t="shared" si="47"/>
        <v/>
      </c>
    </row>
    <row r="764" spans="4:20" x14ac:dyDescent="0.25">
      <c r="D764" s="38" t="str">
        <f t="shared" si="44"/>
        <v/>
      </c>
      <c r="E764" s="38" t="str">
        <f t="shared" si="45"/>
        <v/>
      </c>
      <c r="G764" s="1"/>
      <c r="L764" s="39" t="str">
        <f t="shared" si="46"/>
        <v/>
      </c>
      <c r="T764" s="39" t="str">
        <f t="shared" si="47"/>
        <v/>
      </c>
    </row>
    <row r="765" spans="4:20" x14ac:dyDescent="0.25">
      <c r="D765" s="38" t="str">
        <f t="shared" si="44"/>
        <v/>
      </c>
      <c r="E765" s="38" t="str">
        <f t="shared" si="45"/>
        <v/>
      </c>
      <c r="G765" s="1"/>
      <c r="L765" s="39" t="str">
        <f t="shared" si="46"/>
        <v/>
      </c>
      <c r="T765" s="39" t="str">
        <f t="shared" si="47"/>
        <v/>
      </c>
    </row>
    <row r="766" spans="4:20" x14ac:dyDescent="0.25">
      <c r="D766" s="38" t="str">
        <f t="shared" si="44"/>
        <v/>
      </c>
      <c r="E766" s="38" t="str">
        <f t="shared" si="45"/>
        <v/>
      </c>
      <c r="G766" s="1"/>
      <c r="L766" s="39" t="str">
        <f t="shared" si="46"/>
        <v/>
      </c>
      <c r="T766" s="39" t="str">
        <f t="shared" si="47"/>
        <v/>
      </c>
    </row>
    <row r="767" spans="4:20" x14ac:dyDescent="0.25">
      <c r="D767" s="38" t="str">
        <f t="shared" si="44"/>
        <v/>
      </c>
      <c r="E767" s="38" t="str">
        <f t="shared" si="45"/>
        <v/>
      </c>
      <c r="G767" s="1"/>
      <c r="L767" s="39" t="str">
        <f t="shared" si="46"/>
        <v/>
      </c>
      <c r="T767" s="39" t="str">
        <f t="shared" si="47"/>
        <v/>
      </c>
    </row>
    <row r="768" spans="4:20" x14ac:dyDescent="0.25">
      <c r="D768" s="38" t="str">
        <f t="shared" si="44"/>
        <v/>
      </c>
      <c r="E768" s="38" t="str">
        <f t="shared" si="45"/>
        <v/>
      </c>
      <c r="G768" s="1"/>
      <c r="L768" s="39" t="str">
        <f t="shared" si="46"/>
        <v/>
      </c>
      <c r="T768" s="39" t="str">
        <f t="shared" si="47"/>
        <v/>
      </c>
    </row>
    <row r="769" spans="4:20" x14ac:dyDescent="0.25">
      <c r="D769" s="38" t="str">
        <f t="shared" si="44"/>
        <v/>
      </c>
      <c r="E769" s="38" t="str">
        <f t="shared" si="45"/>
        <v/>
      </c>
      <c r="G769" s="1"/>
      <c r="L769" s="39" t="str">
        <f t="shared" si="46"/>
        <v/>
      </c>
      <c r="T769" s="39" t="str">
        <f t="shared" si="47"/>
        <v/>
      </c>
    </row>
    <row r="770" spans="4:20" x14ac:dyDescent="0.25">
      <c r="D770" s="38" t="str">
        <f t="shared" ref="D770:D833" si="48">IF($B770="", "", CHOOSE(MONTH($B770), "Gennaio","Febbraio","Marzo","Aprile","Maggio","Giugno","Luglio","Agosto","Settembre","Ottobre","Novembre","Dicembre"))</f>
        <v/>
      </c>
      <c r="E770" s="38" t="str">
        <f t="shared" ref="E770:E833" si="49">IF($B770="", "", CHOOSE(WEEKDAY($B770,2), "Lunedì","Martedì","Mercoledì","Giovedì","Venerdì","Sabato","Domenica"))</f>
        <v/>
      </c>
      <c r="G770" s="1"/>
      <c r="L770" s="39" t="str">
        <f t="shared" ref="L770:L833" si="50">IF($K770="Target", $G770*$H770, IF($K770="Stop Loss", -$G770, IF($K770="Breakeven", 0, "")))</f>
        <v/>
      </c>
      <c r="T770" s="39" t="str">
        <f t="shared" si="47"/>
        <v/>
      </c>
    </row>
    <row r="771" spans="4:20" x14ac:dyDescent="0.25">
      <c r="D771" s="38" t="str">
        <f t="shared" si="48"/>
        <v/>
      </c>
      <c r="E771" s="38" t="str">
        <f t="shared" si="49"/>
        <v/>
      </c>
      <c r="G771" s="1"/>
      <c r="L771" s="39" t="str">
        <f t="shared" si="50"/>
        <v/>
      </c>
      <c r="T771" s="39" t="str">
        <f t="shared" ref="T771:T834" si="51">IF($L771="", "", $T770 + $L771)</f>
        <v/>
      </c>
    </row>
    <row r="772" spans="4:20" x14ac:dyDescent="0.25">
      <c r="D772" s="38" t="str">
        <f t="shared" si="48"/>
        <v/>
      </c>
      <c r="E772" s="38" t="str">
        <f t="shared" si="49"/>
        <v/>
      </c>
      <c r="G772" s="1"/>
      <c r="L772" s="39" t="str">
        <f t="shared" si="50"/>
        <v/>
      </c>
      <c r="T772" s="39" t="str">
        <f t="shared" si="51"/>
        <v/>
      </c>
    </row>
    <row r="773" spans="4:20" x14ac:dyDescent="0.25">
      <c r="D773" s="38" t="str">
        <f t="shared" si="48"/>
        <v/>
      </c>
      <c r="E773" s="38" t="str">
        <f t="shared" si="49"/>
        <v/>
      </c>
      <c r="G773" s="1"/>
      <c r="L773" s="39" t="str">
        <f t="shared" si="50"/>
        <v/>
      </c>
      <c r="T773" s="39" t="str">
        <f t="shared" si="51"/>
        <v/>
      </c>
    </row>
    <row r="774" spans="4:20" x14ac:dyDescent="0.25">
      <c r="D774" s="38" t="str">
        <f t="shared" si="48"/>
        <v/>
      </c>
      <c r="E774" s="38" t="str">
        <f t="shared" si="49"/>
        <v/>
      </c>
      <c r="G774" s="1"/>
      <c r="L774" s="39" t="str">
        <f t="shared" si="50"/>
        <v/>
      </c>
      <c r="T774" s="39" t="str">
        <f t="shared" si="51"/>
        <v/>
      </c>
    </row>
    <row r="775" spans="4:20" x14ac:dyDescent="0.25">
      <c r="D775" s="38" t="str">
        <f t="shared" si="48"/>
        <v/>
      </c>
      <c r="E775" s="38" t="str">
        <f t="shared" si="49"/>
        <v/>
      </c>
      <c r="G775" s="1"/>
      <c r="L775" s="39" t="str">
        <f t="shared" si="50"/>
        <v/>
      </c>
      <c r="T775" s="39" t="str">
        <f t="shared" si="51"/>
        <v/>
      </c>
    </row>
    <row r="776" spans="4:20" x14ac:dyDescent="0.25">
      <c r="D776" s="38" t="str">
        <f t="shared" si="48"/>
        <v/>
      </c>
      <c r="E776" s="38" t="str">
        <f t="shared" si="49"/>
        <v/>
      </c>
      <c r="G776" s="1"/>
      <c r="L776" s="39" t="str">
        <f t="shared" si="50"/>
        <v/>
      </c>
      <c r="T776" s="39" t="str">
        <f t="shared" si="51"/>
        <v/>
      </c>
    </row>
    <row r="777" spans="4:20" x14ac:dyDescent="0.25">
      <c r="D777" s="38" t="str">
        <f t="shared" si="48"/>
        <v/>
      </c>
      <c r="E777" s="38" t="str">
        <f t="shared" si="49"/>
        <v/>
      </c>
      <c r="G777" s="1"/>
      <c r="L777" s="39" t="str">
        <f t="shared" si="50"/>
        <v/>
      </c>
      <c r="T777" s="39" t="str">
        <f t="shared" si="51"/>
        <v/>
      </c>
    </row>
    <row r="778" spans="4:20" x14ac:dyDescent="0.25">
      <c r="D778" s="38" t="str">
        <f t="shared" si="48"/>
        <v/>
      </c>
      <c r="E778" s="38" t="str">
        <f t="shared" si="49"/>
        <v/>
      </c>
      <c r="G778" s="1"/>
      <c r="L778" s="39" t="str">
        <f t="shared" si="50"/>
        <v/>
      </c>
      <c r="T778" s="39" t="str">
        <f t="shared" si="51"/>
        <v/>
      </c>
    </row>
    <row r="779" spans="4:20" x14ac:dyDescent="0.25">
      <c r="D779" s="38" t="str">
        <f t="shared" si="48"/>
        <v/>
      </c>
      <c r="E779" s="38" t="str">
        <f t="shared" si="49"/>
        <v/>
      </c>
      <c r="G779" s="1"/>
      <c r="L779" s="39" t="str">
        <f t="shared" si="50"/>
        <v/>
      </c>
      <c r="T779" s="39" t="str">
        <f t="shared" si="51"/>
        <v/>
      </c>
    </row>
    <row r="780" spans="4:20" x14ac:dyDescent="0.25">
      <c r="D780" s="38" t="str">
        <f t="shared" si="48"/>
        <v/>
      </c>
      <c r="E780" s="38" t="str">
        <f t="shared" si="49"/>
        <v/>
      </c>
      <c r="G780" s="1"/>
      <c r="L780" s="39" t="str">
        <f t="shared" si="50"/>
        <v/>
      </c>
      <c r="T780" s="39" t="str">
        <f t="shared" si="51"/>
        <v/>
      </c>
    </row>
    <row r="781" spans="4:20" x14ac:dyDescent="0.25">
      <c r="D781" s="38" t="str">
        <f t="shared" si="48"/>
        <v/>
      </c>
      <c r="E781" s="38" t="str">
        <f t="shared" si="49"/>
        <v/>
      </c>
      <c r="G781" s="1"/>
      <c r="L781" s="39" t="str">
        <f t="shared" si="50"/>
        <v/>
      </c>
      <c r="T781" s="39" t="str">
        <f t="shared" si="51"/>
        <v/>
      </c>
    </row>
    <row r="782" spans="4:20" x14ac:dyDescent="0.25">
      <c r="D782" s="38" t="str">
        <f t="shared" si="48"/>
        <v/>
      </c>
      <c r="E782" s="38" t="str">
        <f t="shared" si="49"/>
        <v/>
      </c>
      <c r="G782" s="1"/>
      <c r="L782" s="39" t="str">
        <f t="shared" si="50"/>
        <v/>
      </c>
      <c r="T782" s="39" t="str">
        <f t="shared" si="51"/>
        <v/>
      </c>
    </row>
    <row r="783" spans="4:20" x14ac:dyDescent="0.25">
      <c r="D783" s="38" t="str">
        <f t="shared" si="48"/>
        <v/>
      </c>
      <c r="E783" s="38" t="str">
        <f t="shared" si="49"/>
        <v/>
      </c>
      <c r="G783" s="1"/>
      <c r="L783" s="39" t="str">
        <f t="shared" si="50"/>
        <v/>
      </c>
      <c r="T783" s="39" t="str">
        <f t="shared" si="51"/>
        <v/>
      </c>
    </row>
    <row r="784" spans="4:20" x14ac:dyDescent="0.25">
      <c r="D784" s="38" t="str">
        <f t="shared" si="48"/>
        <v/>
      </c>
      <c r="E784" s="38" t="str">
        <f t="shared" si="49"/>
        <v/>
      </c>
      <c r="G784" s="1"/>
      <c r="L784" s="39" t="str">
        <f t="shared" si="50"/>
        <v/>
      </c>
      <c r="T784" s="39" t="str">
        <f t="shared" si="51"/>
        <v/>
      </c>
    </row>
    <row r="785" spans="4:20" x14ac:dyDescent="0.25">
      <c r="D785" s="38" t="str">
        <f t="shared" si="48"/>
        <v/>
      </c>
      <c r="E785" s="38" t="str">
        <f t="shared" si="49"/>
        <v/>
      </c>
      <c r="G785" s="1"/>
      <c r="L785" s="39" t="str">
        <f t="shared" si="50"/>
        <v/>
      </c>
      <c r="T785" s="39" t="str">
        <f t="shared" si="51"/>
        <v/>
      </c>
    </row>
    <row r="786" spans="4:20" x14ac:dyDescent="0.25">
      <c r="D786" s="38" t="str">
        <f t="shared" si="48"/>
        <v/>
      </c>
      <c r="E786" s="38" t="str">
        <f t="shared" si="49"/>
        <v/>
      </c>
      <c r="G786" s="1"/>
      <c r="L786" s="39" t="str">
        <f t="shared" si="50"/>
        <v/>
      </c>
      <c r="T786" s="39" t="str">
        <f t="shared" si="51"/>
        <v/>
      </c>
    </row>
    <row r="787" spans="4:20" x14ac:dyDescent="0.25">
      <c r="D787" s="38" t="str">
        <f t="shared" si="48"/>
        <v/>
      </c>
      <c r="E787" s="38" t="str">
        <f t="shared" si="49"/>
        <v/>
      </c>
      <c r="G787" s="1"/>
      <c r="L787" s="39" t="str">
        <f t="shared" si="50"/>
        <v/>
      </c>
      <c r="T787" s="39" t="str">
        <f t="shared" si="51"/>
        <v/>
      </c>
    </row>
    <row r="788" spans="4:20" x14ac:dyDescent="0.25">
      <c r="D788" s="38" t="str">
        <f t="shared" si="48"/>
        <v/>
      </c>
      <c r="E788" s="38" t="str">
        <f t="shared" si="49"/>
        <v/>
      </c>
      <c r="G788" s="1"/>
      <c r="L788" s="39" t="str">
        <f t="shared" si="50"/>
        <v/>
      </c>
      <c r="T788" s="39" t="str">
        <f t="shared" si="51"/>
        <v/>
      </c>
    </row>
    <row r="789" spans="4:20" x14ac:dyDescent="0.25">
      <c r="D789" s="38" t="str">
        <f t="shared" si="48"/>
        <v/>
      </c>
      <c r="E789" s="38" t="str">
        <f t="shared" si="49"/>
        <v/>
      </c>
      <c r="G789" s="1"/>
      <c r="L789" s="39" t="str">
        <f t="shared" si="50"/>
        <v/>
      </c>
      <c r="T789" s="39" t="str">
        <f t="shared" si="51"/>
        <v/>
      </c>
    </row>
    <row r="790" spans="4:20" x14ac:dyDescent="0.25">
      <c r="D790" s="38" t="str">
        <f t="shared" si="48"/>
        <v/>
      </c>
      <c r="E790" s="38" t="str">
        <f t="shared" si="49"/>
        <v/>
      </c>
      <c r="G790" s="1"/>
      <c r="L790" s="39" t="str">
        <f t="shared" si="50"/>
        <v/>
      </c>
      <c r="T790" s="39" t="str">
        <f t="shared" si="51"/>
        <v/>
      </c>
    </row>
    <row r="791" spans="4:20" x14ac:dyDescent="0.25">
      <c r="D791" s="38" t="str">
        <f t="shared" si="48"/>
        <v/>
      </c>
      <c r="E791" s="38" t="str">
        <f t="shared" si="49"/>
        <v/>
      </c>
      <c r="G791" s="1"/>
      <c r="L791" s="39" t="str">
        <f t="shared" si="50"/>
        <v/>
      </c>
      <c r="T791" s="39" t="str">
        <f t="shared" si="51"/>
        <v/>
      </c>
    </row>
    <row r="792" spans="4:20" x14ac:dyDescent="0.25">
      <c r="D792" s="38" t="str">
        <f t="shared" si="48"/>
        <v/>
      </c>
      <c r="E792" s="38" t="str">
        <f t="shared" si="49"/>
        <v/>
      </c>
      <c r="G792" s="1"/>
      <c r="L792" s="39" t="str">
        <f t="shared" si="50"/>
        <v/>
      </c>
      <c r="T792" s="39" t="str">
        <f t="shared" si="51"/>
        <v/>
      </c>
    </row>
    <row r="793" spans="4:20" x14ac:dyDescent="0.25">
      <c r="D793" s="38" t="str">
        <f t="shared" si="48"/>
        <v/>
      </c>
      <c r="E793" s="38" t="str">
        <f t="shared" si="49"/>
        <v/>
      </c>
      <c r="G793" s="1"/>
      <c r="L793" s="39" t="str">
        <f t="shared" si="50"/>
        <v/>
      </c>
      <c r="T793" s="39" t="str">
        <f t="shared" si="51"/>
        <v/>
      </c>
    </row>
    <row r="794" spans="4:20" x14ac:dyDescent="0.25">
      <c r="D794" s="38" t="str">
        <f t="shared" si="48"/>
        <v/>
      </c>
      <c r="E794" s="38" t="str">
        <f t="shared" si="49"/>
        <v/>
      </c>
      <c r="G794" s="1"/>
      <c r="L794" s="39" t="str">
        <f t="shared" si="50"/>
        <v/>
      </c>
      <c r="T794" s="39" t="str">
        <f t="shared" si="51"/>
        <v/>
      </c>
    </row>
    <row r="795" spans="4:20" x14ac:dyDescent="0.25">
      <c r="D795" s="38" t="str">
        <f t="shared" si="48"/>
        <v/>
      </c>
      <c r="E795" s="38" t="str">
        <f t="shared" si="49"/>
        <v/>
      </c>
      <c r="G795" s="1"/>
      <c r="L795" s="39" t="str">
        <f t="shared" si="50"/>
        <v/>
      </c>
      <c r="T795" s="39" t="str">
        <f t="shared" si="51"/>
        <v/>
      </c>
    </row>
    <row r="796" spans="4:20" x14ac:dyDescent="0.25">
      <c r="D796" s="38" t="str">
        <f t="shared" si="48"/>
        <v/>
      </c>
      <c r="E796" s="38" t="str">
        <f t="shared" si="49"/>
        <v/>
      </c>
      <c r="G796" s="1"/>
      <c r="L796" s="39" t="str">
        <f t="shared" si="50"/>
        <v/>
      </c>
      <c r="T796" s="39" t="str">
        <f t="shared" si="51"/>
        <v/>
      </c>
    </row>
    <row r="797" spans="4:20" x14ac:dyDescent="0.25">
      <c r="D797" s="38" t="str">
        <f t="shared" si="48"/>
        <v/>
      </c>
      <c r="E797" s="38" t="str">
        <f t="shared" si="49"/>
        <v/>
      </c>
      <c r="G797" s="1"/>
      <c r="L797" s="39" t="str">
        <f t="shared" si="50"/>
        <v/>
      </c>
      <c r="T797" s="39" t="str">
        <f t="shared" si="51"/>
        <v/>
      </c>
    </row>
    <row r="798" spans="4:20" x14ac:dyDescent="0.25">
      <c r="D798" s="38" t="str">
        <f t="shared" si="48"/>
        <v/>
      </c>
      <c r="E798" s="38" t="str">
        <f t="shared" si="49"/>
        <v/>
      </c>
      <c r="G798" s="1"/>
      <c r="L798" s="39" t="str">
        <f t="shared" si="50"/>
        <v/>
      </c>
      <c r="T798" s="39" t="str">
        <f t="shared" si="51"/>
        <v/>
      </c>
    </row>
    <row r="799" spans="4:20" x14ac:dyDescent="0.25">
      <c r="D799" s="38" t="str">
        <f t="shared" si="48"/>
        <v/>
      </c>
      <c r="E799" s="38" t="str">
        <f t="shared" si="49"/>
        <v/>
      </c>
      <c r="G799" s="1"/>
      <c r="L799" s="39" t="str">
        <f t="shared" si="50"/>
        <v/>
      </c>
      <c r="T799" s="39" t="str">
        <f t="shared" si="51"/>
        <v/>
      </c>
    </row>
    <row r="800" spans="4:20" x14ac:dyDescent="0.25">
      <c r="D800" s="38" t="str">
        <f t="shared" si="48"/>
        <v/>
      </c>
      <c r="E800" s="38" t="str">
        <f t="shared" si="49"/>
        <v/>
      </c>
      <c r="G800" s="1"/>
      <c r="L800" s="39" t="str">
        <f t="shared" si="50"/>
        <v/>
      </c>
      <c r="T800" s="39" t="str">
        <f t="shared" si="51"/>
        <v/>
      </c>
    </row>
    <row r="801" spans="4:20" x14ac:dyDescent="0.25">
      <c r="D801" s="38" t="str">
        <f t="shared" si="48"/>
        <v/>
      </c>
      <c r="E801" s="38" t="str">
        <f t="shared" si="49"/>
        <v/>
      </c>
      <c r="G801" s="1"/>
      <c r="L801" s="39" t="str">
        <f t="shared" si="50"/>
        <v/>
      </c>
      <c r="T801" s="39" t="str">
        <f t="shared" si="51"/>
        <v/>
      </c>
    </row>
    <row r="802" spans="4:20" x14ac:dyDescent="0.25">
      <c r="D802" s="38" t="str">
        <f t="shared" si="48"/>
        <v/>
      </c>
      <c r="E802" s="38" t="str">
        <f t="shared" si="49"/>
        <v/>
      </c>
      <c r="G802" s="1"/>
      <c r="L802" s="39" t="str">
        <f t="shared" si="50"/>
        <v/>
      </c>
      <c r="T802" s="39" t="str">
        <f t="shared" si="51"/>
        <v/>
      </c>
    </row>
    <row r="803" spans="4:20" x14ac:dyDescent="0.25">
      <c r="D803" s="38" t="str">
        <f t="shared" si="48"/>
        <v/>
      </c>
      <c r="E803" s="38" t="str">
        <f t="shared" si="49"/>
        <v/>
      </c>
      <c r="G803" s="1"/>
      <c r="L803" s="39" t="str">
        <f t="shared" si="50"/>
        <v/>
      </c>
      <c r="T803" s="39" t="str">
        <f t="shared" si="51"/>
        <v/>
      </c>
    </row>
    <row r="804" spans="4:20" x14ac:dyDescent="0.25">
      <c r="D804" s="38" t="str">
        <f t="shared" si="48"/>
        <v/>
      </c>
      <c r="E804" s="38" t="str">
        <f t="shared" si="49"/>
        <v/>
      </c>
      <c r="G804" s="1"/>
      <c r="L804" s="39" t="str">
        <f t="shared" si="50"/>
        <v/>
      </c>
      <c r="T804" s="39" t="str">
        <f t="shared" si="51"/>
        <v/>
      </c>
    </row>
    <row r="805" spans="4:20" x14ac:dyDescent="0.25">
      <c r="D805" s="38" t="str">
        <f t="shared" si="48"/>
        <v/>
      </c>
      <c r="E805" s="38" t="str">
        <f t="shared" si="49"/>
        <v/>
      </c>
      <c r="G805" s="1"/>
      <c r="L805" s="39" t="str">
        <f t="shared" si="50"/>
        <v/>
      </c>
      <c r="T805" s="39" t="str">
        <f t="shared" si="51"/>
        <v/>
      </c>
    </row>
    <row r="806" spans="4:20" x14ac:dyDescent="0.25">
      <c r="D806" s="38" t="str">
        <f t="shared" si="48"/>
        <v/>
      </c>
      <c r="E806" s="38" t="str">
        <f t="shared" si="49"/>
        <v/>
      </c>
      <c r="G806" s="1"/>
      <c r="L806" s="39" t="str">
        <f t="shared" si="50"/>
        <v/>
      </c>
      <c r="T806" s="39" t="str">
        <f t="shared" si="51"/>
        <v/>
      </c>
    </row>
    <row r="807" spans="4:20" x14ac:dyDescent="0.25">
      <c r="D807" s="38" t="str">
        <f t="shared" si="48"/>
        <v/>
      </c>
      <c r="E807" s="38" t="str">
        <f t="shared" si="49"/>
        <v/>
      </c>
      <c r="G807" s="1"/>
      <c r="L807" s="39" t="str">
        <f t="shared" si="50"/>
        <v/>
      </c>
      <c r="T807" s="39" t="str">
        <f t="shared" si="51"/>
        <v/>
      </c>
    </row>
    <row r="808" spans="4:20" x14ac:dyDescent="0.25">
      <c r="D808" s="38" t="str">
        <f t="shared" si="48"/>
        <v/>
      </c>
      <c r="E808" s="38" t="str">
        <f t="shared" si="49"/>
        <v/>
      </c>
      <c r="G808" s="1"/>
      <c r="L808" s="39" t="str">
        <f t="shared" si="50"/>
        <v/>
      </c>
      <c r="T808" s="39" t="str">
        <f t="shared" si="51"/>
        <v/>
      </c>
    </row>
    <row r="809" spans="4:20" x14ac:dyDescent="0.25">
      <c r="D809" s="38" t="str">
        <f t="shared" si="48"/>
        <v/>
      </c>
      <c r="E809" s="38" t="str">
        <f t="shared" si="49"/>
        <v/>
      </c>
      <c r="G809" s="1"/>
      <c r="L809" s="39" t="str">
        <f t="shared" si="50"/>
        <v/>
      </c>
      <c r="T809" s="39" t="str">
        <f t="shared" si="51"/>
        <v/>
      </c>
    </row>
    <row r="810" spans="4:20" x14ac:dyDescent="0.25">
      <c r="D810" s="38" t="str">
        <f t="shared" si="48"/>
        <v/>
      </c>
      <c r="E810" s="38" t="str">
        <f t="shared" si="49"/>
        <v/>
      </c>
      <c r="G810" s="1"/>
      <c r="L810" s="39" t="str">
        <f t="shared" si="50"/>
        <v/>
      </c>
      <c r="T810" s="39" t="str">
        <f t="shared" si="51"/>
        <v/>
      </c>
    </row>
    <row r="811" spans="4:20" x14ac:dyDescent="0.25">
      <c r="D811" s="38" t="str">
        <f t="shared" si="48"/>
        <v/>
      </c>
      <c r="E811" s="38" t="str">
        <f t="shared" si="49"/>
        <v/>
      </c>
      <c r="G811" s="1"/>
      <c r="L811" s="39" t="str">
        <f t="shared" si="50"/>
        <v/>
      </c>
      <c r="T811" s="39" t="str">
        <f t="shared" si="51"/>
        <v/>
      </c>
    </row>
    <row r="812" spans="4:20" x14ac:dyDescent="0.25">
      <c r="D812" s="38" t="str">
        <f t="shared" si="48"/>
        <v/>
      </c>
      <c r="E812" s="38" t="str">
        <f t="shared" si="49"/>
        <v/>
      </c>
      <c r="G812" s="1"/>
      <c r="L812" s="39" t="str">
        <f t="shared" si="50"/>
        <v/>
      </c>
      <c r="T812" s="39" t="str">
        <f t="shared" si="51"/>
        <v/>
      </c>
    </row>
    <row r="813" spans="4:20" x14ac:dyDescent="0.25">
      <c r="D813" s="38" t="str">
        <f t="shared" si="48"/>
        <v/>
      </c>
      <c r="E813" s="38" t="str">
        <f t="shared" si="49"/>
        <v/>
      </c>
      <c r="G813" s="1"/>
      <c r="L813" s="39" t="str">
        <f t="shared" si="50"/>
        <v/>
      </c>
      <c r="T813" s="39" t="str">
        <f t="shared" si="51"/>
        <v/>
      </c>
    </row>
    <row r="814" spans="4:20" x14ac:dyDescent="0.25">
      <c r="D814" s="38" t="str">
        <f t="shared" si="48"/>
        <v/>
      </c>
      <c r="E814" s="38" t="str">
        <f t="shared" si="49"/>
        <v/>
      </c>
      <c r="G814" s="1"/>
      <c r="L814" s="39" t="str">
        <f t="shared" si="50"/>
        <v/>
      </c>
      <c r="T814" s="39" t="str">
        <f t="shared" si="51"/>
        <v/>
      </c>
    </row>
    <row r="815" spans="4:20" x14ac:dyDescent="0.25">
      <c r="D815" s="38" t="str">
        <f t="shared" si="48"/>
        <v/>
      </c>
      <c r="E815" s="38" t="str">
        <f t="shared" si="49"/>
        <v/>
      </c>
      <c r="G815" s="1"/>
      <c r="L815" s="39" t="str">
        <f t="shared" si="50"/>
        <v/>
      </c>
      <c r="T815" s="39" t="str">
        <f t="shared" si="51"/>
        <v/>
      </c>
    </row>
    <row r="816" spans="4:20" x14ac:dyDescent="0.25">
      <c r="D816" s="38" t="str">
        <f t="shared" si="48"/>
        <v/>
      </c>
      <c r="E816" s="38" t="str">
        <f t="shared" si="49"/>
        <v/>
      </c>
      <c r="G816" s="1"/>
      <c r="L816" s="39" t="str">
        <f t="shared" si="50"/>
        <v/>
      </c>
      <c r="T816" s="39" t="str">
        <f t="shared" si="51"/>
        <v/>
      </c>
    </row>
    <row r="817" spans="4:20" x14ac:dyDescent="0.25">
      <c r="D817" s="38" t="str">
        <f t="shared" si="48"/>
        <v/>
      </c>
      <c r="E817" s="38" t="str">
        <f t="shared" si="49"/>
        <v/>
      </c>
      <c r="G817" s="1"/>
      <c r="L817" s="39" t="str">
        <f t="shared" si="50"/>
        <v/>
      </c>
      <c r="T817" s="39" t="str">
        <f t="shared" si="51"/>
        <v/>
      </c>
    </row>
    <row r="818" spans="4:20" x14ac:dyDescent="0.25">
      <c r="D818" s="38" t="str">
        <f t="shared" si="48"/>
        <v/>
      </c>
      <c r="E818" s="38" t="str">
        <f t="shared" si="49"/>
        <v/>
      </c>
      <c r="G818" s="1"/>
      <c r="L818" s="39" t="str">
        <f t="shared" si="50"/>
        <v/>
      </c>
      <c r="T818" s="39" t="str">
        <f t="shared" si="51"/>
        <v/>
      </c>
    </row>
    <row r="819" spans="4:20" x14ac:dyDescent="0.25">
      <c r="D819" s="38" t="str">
        <f t="shared" si="48"/>
        <v/>
      </c>
      <c r="E819" s="38" t="str">
        <f t="shared" si="49"/>
        <v/>
      </c>
      <c r="G819" s="1"/>
      <c r="L819" s="39" t="str">
        <f t="shared" si="50"/>
        <v/>
      </c>
      <c r="T819" s="39" t="str">
        <f t="shared" si="51"/>
        <v/>
      </c>
    </row>
    <row r="820" spans="4:20" x14ac:dyDescent="0.25">
      <c r="D820" s="38" t="str">
        <f t="shared" si="48"/>
        <v/>
      </c>
      <c r="E820" s="38" t="str">
        <f t="shared" si="49"/>
        <v/>
      </c>
      <c r="G820" s="1"/>
      <c r="L820" s="39" t="str">
        <f t="shared" si="50"/>
        <v/>
      </c>
      <c r="T820" s="39" t="str">
        <f t="shared" si="51"/>
        <v/>
      </c>
    </row>
    <row r="821" spans="4:20" x14ac:dyDescent="0.25">
      <c r="D821" s="38" t="str">
        <f t="shared" si="48"/>
        <v/>
      </c>
      <c r="E821" s="38" t="str">
        <f t="shared" si="49"/>
        <v/>
      </c>
      <c r="G821" s="1"/>
      <c r="L821" s="39" t="str">
        <f t="shared" si="50"/>
        <v/>
      </c>
      <c r="T821" s="39" t="str">
        <f t="shared" si="51"/>
        <v/>
      </c>
    </row>
    <row r="822" spans="4:20" x14ac:dyDescent="0.25">
      <c r="D822" s="38" t="str">
        <f t="shared" si="48"/>
        <v/>
      </c>
      <c r="E822" s="38" t="str">
        <f t="shared" si="49"/>
        <v/>
      </c>
      <c r="G822" s="1"/>
      <c r="L822" s="39" t="str">
        <f t="shared" si="50"/>
        <v/>
      </c>
      <c r="T822" s="39" t="str">
        <f t="shared" si="51"/>
        <v/>
      </c>
    </row>
    <row r="823" spans="4:20" x14ac:dyDescent="0.25">
      <c r="D823" s="38" t="str">
        <f t="shared" si="48"/>
        <v/>
      </c>
      <c r="E823" s="38" t="str">
        <f t="shared" si="49"/>
        <v/>
      </c>
      <c r="G823" s="1"/>
      <c r="L823" s="39" t="str">
        <f t="shared" si="50"/>
        <v/>
      </c>
      <c r="T823" s="39" t="str">
        <f t="shared" si="51"/>
        <v/>
      </c>
    </row>
    <row r="824" spans="4:20" x14ac:dyDescent="0.25">
      <c r="D824" s="38" t="str">
        <f t="shared" si="48"/>
        <v/>
      </c>
      <c r="E824" s="38" t="str">
        <f t="shared" si="49"/>
        <v/>
      </c>
      <c r="G824" s="1"/>
      <c r="L824" s="39" t="str">
        <f t="shared" si="50"/>
        <v/>
      </c>
      <c r="T824" s="39" t="str">
        <f t="shared" si="51"/>
        <v/>
      </c>
    </row>
    <row r="825" spans="4:20" x14ac:dyDescent="0.25">
      <c r="D825" s="38" t="str">
        <f t="shared" si="48"/>
        <v/>
      </c>
      <c r="E825" s="38" t="str">
        <f t="shared" si="49"/>
        <v/>
      </c>
      <c r="G825" s="1"/>
      <c r="L825" s="39" t="str">
        <f t="shared" si="50"/>
        <v/>
      </c>
      <c r="T825" s="39" t="str">
        <f t="shared" si="51"/>
        <v/>
      </c>
    </row>
    <row r="826" spans="4:20" x14ac:dyDescent="0.25">
      <c r="D826" s="38" t="str">
        <f t="shared" si="48"/>
        <v/>
      </c>
      <c r="E826" s="38" t="str">
        <f t="shared" si="49"/>
        <v/>
      </c>
      <c r="G826" s="1"/>
      <c r="L826" s="39" t="str">
        <f t="shared" si="50"/>
        <v/>
      </c>
      <c r="T826" s="39" t="str">
        <f t="shared" si="51"/>
        <v/>
      </c>
    </row>
    <row r="827" spans="4:20" x14ac:dyDescent="0.25">
      <c r="D827" s="38" t="str">
        <f t="shared" si="48"/>
        <v/>
      </c>
      <c r="E827" s="38" t="str">
        <f t="shared" si="49"/>
        <v/>
      </c>
      <c r="G827" s="1"/>
      <c r="L827" s="39" t="str">
        <f t="shared" si="50"/>
        <v/>
      </c>
      <c r="T827" s="39" t="str">
        <f t="shared" si="51"/>
        <v/>
      </c>
    </row>
    <row r="828" spans="4:20" x14ac:dyDescent="0.25">
      <c r="D828" s="38" t="str">
        <f t="shared" si="48"/>
        <v/>
      </c>
      <c r="E828" s="38" t="str">
        <f t="shared" si="49"/>
        <v/>
      </c>
      <c r="G828" s="1"/>
      <c r="L828" s="39" t="str">
        <f t="shared" si="50"/>
        <v/>
      </c>
      <c r="T828" s="39" t="str">
        <f t="shared" si="51"/>
        <v/>
      </c>
    </row>
    <row r="829" spans="4:20" x14ac:dyDescent="0.25">
      <c r="D829" s="38" t="str">
        <f t="shared" si="48"/>
        <v/>
      </c>
      <c r="E829" s="38" t="str">
        <f t="shared" si="49"/>
        <v/>
      </c>
      <c r="G829" s="1"/>
      <c r="L829" s="39" t="str">
        <f t="shared" si="50"/>
        <v/>
      </c>
      <c r="T829" s="39" t="str">
        <f t="shared" si="51"/>
        <v/>
      </c>
    </row>
    <row r="830" spans="4:20" x14ac:dyDescent="0.25">
      <c r="D830" s="38" t="str">
        <f t="shared" si="48"/>
        <v/>
      </c>
      <c r="E830" s="38" t="str">
        <f t="shared" si="49"/>
        <v/>
      </c>
      <c r="G830" s="1"/>
      <c r="L830" s="39" t="str">
        <f t="shared" si="50"/>
        <v/>
      </c>
      <c r="T830" s="39" t="str">
        <f t="shared" si="51"/>
        <v/>
      </c>
    </row>
    <row r="831" spans="4:20" x14ac:dyDescent="0.25">
      <c r="D831" s="38" t="str">
        <f t="shared" si="48"/>
        <v/>
      </c>
      <c r="E831" s="38" t="str">
        <f t="shared" si="49"/>
        <v/>
      </c>
      <c r="G831" s="1"/>
      <c r="L831" s="39" t="str">
        <f t="shared" si="50"/>
        <v/>
      </c>
      <c r="T831" s="39" t="str">
        <f t="shared" si="51"/>
        <v/>
      </c>
    </row>
    <row r="832" spans="4:20" x14ac:dyDescent="0.25">
      <c r="D832" s="38" t="str">
        <f t="shared" si="48"/>
        <v/>
      </c>
      <c r="E832" s="38" t="str">
        <f t="shared" si="49"/>
        <v/>
      </c>
      <c r="G832" s="1"/>
      <c r="L832" s="39" t="str">
        <f t="shared" si="50"/>
        <v/>
      </c>
      <c r="T832" s="39" t="str">
        <f t="shared" si="51"/>
        <v/>
      </c>
    </row>
    <row r="833" spans="4:20" x14ac:dyDescent="0.25">
      <c r="D833" s="38" t="str">
        <f t="shared" si="48"/>
        <v/>
      </c>
      <c r="E833" s="38" t="str">
        <f t="shared" si="49"/>
        <v/>
      </c>
      <c r="G833" s="1"/>
      <c r="L833" s="39" t="str">
        <f t="shared" si="50"/>
        <v/>
      </c>
      <c r="T833" s="39" t="str">
        <f t="shared" si="51"/>
        <v/>
      </c>
    </row>
    <row r="834" spans="4:20" x14ac:dyDescent="0.25">
      <c r="D834" s="38" t="str">
        <f t="shared" ref="D834:D897" si="52">IF($B834="", "", CHOOSE(MONTH($B834), "Gennaio","Febbraio","Marzo","Aprile","Maggio","Giugno","Luglio","Agosto","Settembre","Ottobre","Novembre","Dicembre"))</f>
        <v/>
      </c>
      <c r="E834" s="38" t="str">
        <f t="shared" ref="E834:E897" si="53">IF($B834="", "", CHOOSE(WEEKDAY($B834,2), "Lunedì","Martedì","Mercoledì","Giovedì","Venerdì","Sabato","Domenica"))</f>
        <v/>
      </c>
      <c r="G834" s="1"/>
      <c r="L834" s="39" t="str">
        <f t="shared" ref="L834:L897" si="54">IF($K834="Target", $G834*$H834, IF($K834="Stop Loss", -$G834, IF($K834="Breakeven", 0, "")))</f>
        <v/>
      </c>
      <c r="T834" s="39" t="str">
        <f t="shared" si="51"/>
        <v/>
      </c>
    </row>
    <row r="835" spans="4:20" x14ac:dyDescent="0.25">
      <c r="D835" s="38" t="str">
        <f t="shared" si="52"/>
        <v/>
      </c>
      <c r="E835" s="38" t="str">
        <f t="shared" si="53"/>
        <v/>
      </c>
      <c r="G835" s="1"/>
      <c r="L835" s="39" t="str">
        <f t="shared" si="54"/>
        <v/>
      </c>
      <c r="T835" s="39" t="str">
        <f t="shared" ref="T835:T898" si="55">IF($L835="", "", $T834 + $L835)</f>
        <v/>
      </c>
    </row>
    <row r="836" spans="4:20" x14ac:dyDescent="0.25">
      <c r="D836" s="38" t="str">
        <f t="shared" si="52"/>
        <v/>
      </c>
      <c r="E836" s="38" t="str">
        <f t="shared" si="53"/>
        <v/>
      </c>
      <c r="G836" s="1"/>
      <c r="L836" s="39" t="str">
        <f t="shared" si="54"/>
        <v/>
      </c>
      <c r="T836" s="39" t="str">
        <f t="shared" si="55"/>
        <v/>
      </c>
    </row>
    <row r="837" spans="4:20" x14ac:dyDescent="0.25">
      <c r="D837" s="38" t="str">
        <f t="shared" si="52"/>
        <v/>
      </c>
      <c r="E837" s="38" t="str">
        <f t="shared" si="53"/>
        <v/>
      </c>
      <c r="G837" s="1"/>
      <c r="L837" s="39" t="str">
        <f t="shared" si="54"/>
        <v/>
      </c>
      <c r="T837" s="39" t="str">
        <f t="shared" si="55"/>
        <v/>
      </c>
    </row>
    <row r="838" spans="4:20" x14ac:dyDescent="0.25">
      <c r="D838" s="38" t="str">
        <f t="shared" si="52"/>
        <v/>
      </c>
      <c r="E838" s="38" t="str">
        <f t="shared" si="53"/>
        <v/>
      </c>
      <c r="G838" s="1"/>
      <c r="L838" s="39" t="str">
        <f t="shared" si="54"/>
        <v/>
      </c>
      <c r="T838" s="39" t="str">
        <f t="shared" si="55"/>
        <v/>
      </c>
    </row>
    <row r="839" spans="4:20" x14ac:dyDescent="0.25">
      <c r="D839" s="38" t="str">
        <f t="shared" si="52"/>
        <v/>
      </c>
      <c r="E839" s="38" t="str">
        <f t="shared" si="53"/>
        <v/>
      </c>
      <c r="G839" s="1"/>
      <c r="L839" s="39" t="str">
        <f t="shared" si="54"/>
        <v/>
      </c>
      <c r="T839" s="39" t="str">
        <f t="shared" si="55"/>
        <v/>
      </c>
    </row>
    <row r="840" spans="4:20" x14ac:dyDescent="0.25">
      <c r="D840" s="38" t="str">
        <f t="shared" si="52"/>
        <v/>
      </c>
      <c r="E840" s="38" t="str">
        <f t="shared" si="53"/>
        <v/>
      </c>
      <c r="G840" s="1"/>
      <c r="L840" s="39" t="str">
        <f t="shared" si="54"/>
        <v/>
      </c>
      <c r="T840" s="39" t="str">
        <f t="shared" si="55"/>
        <v/>
      </c>
    </row>
    <row r="841" spans="4:20" x14ac:dyDescent="0.25">
      <c r="D841" s="38" t="str">
        <f t="shared" si="52"/>
        <v/>
      </c>
      <c r="E841" s="38" t="str">
        <f t="shared" si="53"/>
        <v/>
      </c>
      <c r="G841" s="1"/>
      <c r="L841" s="39" t="str">
        <f t="shared" si="54"/>
        <v/>
      </c>
      <c r="T841" s="39" t="str">
        <f t="shared" si="55"/>
        <v/>
      </c>
    </row>
    <row r="842" spans="4:20" x14ac:dyDescent="0.25">
      <c r="D842" s="38" t="str">
        <f t="shared" si="52"/>
        <v/>
      </c>
      <c r="E842" s="38" t="str">
        <f t="shared" si="53"/>
        <v/>
      </c>
      <c r="G842" s="1"/>
      <c r="L842" s="39" t="str">
        <f t="shared" si="54"/>
        <v/>
      </c>
      <c r="T842" s="39" t="str">
        <f t="shared" si="55"/>
        <v/>
      </c>
    </row>
    <row r="843" spans="4:20" x14ac:dyDescent="0.25">
      <c r="D843" s="38" t="str">
        <f t="shared" si="52"/>
        <v/>
      </c>
      <c r="E843" s="38" t="str">
        <f t="shared" si="53"/>
        <v/>
      </c>
      <c r="G843" s="1"/>
      <c r="L843" s="39" t="str">
        <f t="shared" si="54"/>
        <v/>
      </c>
      <c r="T843" s="39" t="str">
        <f t="shared" si="55"/>
        <v/>
      </c>
    </row>
    <row r="844" spans="4:20" x14ac:dyDescent="0.25">
      <c r="D844" s="38" t="str">
        <f t="shared" si="52"/>
        <v/>
      </c>
      <c r="E844" s="38" t="str">
        <f t="shared" si="53"/>
        <v/>
      </c>
      <c r="G844" s="1"/>
      <c r="L844" s="39" t="str">
        <f t="shared" si="54"/>
        <v/>
      </c>
      <c r="T844" s="39" t="str">
        <f t="shared" si="55"/>
        <v/>
      </c>
    </row>
    <row r="845" spans="4:20" x14ac:dyDescent="0.25">
      <c r="D845" s="38" t="str">
        <f t="shared" si="52"/>
        <v/>
      </c>
      <c r="E845" s="38" t="str">
        <f t="shared" si="53"/>
        <v/>
      </c>
      <c r="G845" s="1"/>
      <c r="L845" s="39" t="str">
        <f t="shared" si="54"/>
        <v/>
      </c>
      <c r="T845" s="39" t="str">
        <f t="shared" si="55"/>
        <v/>
      </c>
    </row>
    <row r="846" spans="4:20" x14ac:dyDescent="0.25">
      <c r="D846" s="38" t="str">
        <f t="shared" si="52"/>
        <v/>
      </c>
      <c r="E846" s="38" t="str">
        <f t="shared" si="53"/>
        <v/>
      </c>
      <c r="G846" s="1"/>
      <c r="L846" s="39" t="str">
        <f t="shared" si="54"/>
        <v/>
      </c>
      <c r="T846" s="39" t="str">
        <f t="shared" si="55"/>
        <v/>
      </c>
    </row>
    <row r="847" spans="4:20" x14ac:dyDescent="0.25">
      <c r="D847" s="38" t="str">
        <f t="shared" si="52"/>
        <v/>
      </c>
      <c r="E847" s="38" t="str">
        <f t="shared" si="53"/>
        <v/>
      </c>
      <c r="G847" s="1"/>
      <c r="L847" s="39" t="str">
        <f t="shared" si="54"/>
        <v/>
      </c>
      <c r="T847" s="39" t="str">
        <f t="shared" si="55"/>
        <v/>
      </c>
    </row>
    <row r="848" spans="4:20" x14ac:dyDescent="0.25">
      <c r="D848" s="38" t="str">
        <f t="shared" si="52"/>
        <v/>
      </c>
      <c r="E848" s="38" t="str">
        <f t="shared" si="53"/>
        <v/>
      </c>
      <c r="G848" s="1"/>
      <c r="L848" s="39" t="str">
        <f t="shared" si="54"/>
        <v/>
      </c>
      <c r="T848" s="39" t="str">
        <f t="shared" si="55"/>
        <v/>
      </c>
    </row>
    <row r="849" spans="4:20" x14ac:dyDescent="0.25">
      <c r="D849" s="38" t="str">
        <f t="shared" si="52"/>
        <v/>
      </c>
      <c r="E849" s="38" t="str">
        <f t="shared" si="53"/>
        <v/>
      </c>
      <c r="G849" s="1"/>
      <c r="L849" s="39" t="str">
        <f t="shared" si="54"/>
        <v/>
      </c>
      <c r="T849" s="39" t="str">
        <f t="shared" si="55"/>
        <v/>
      </c>
    </row>
    <row r="850" spans="4:20" x14ac:dyDescent="0.25">
      <c r="D850" s="38" t="str">
        <f t="shared" si="52"/>
        <v/>
      </c>
      <c r="E850" s="38" t="str">
        <f t="shared" si="53"/>
        <v/>
      </c>
      <c r="G850" s="1"/>
      <c r="L850" s="39" t="str">
        <f t="shared" si="54"/>
        <v/>
      </c>
      <c r="T850" s="39" t="str">
        <f t="shared" si="55"/>
        <v/>
      </c>
    </row>
    <row r="851" spans="4:20" x14ac:dyDescent="0.25">
      <c r="D851" s="38" t="str">
        <f t="shared" si="52"/>
        <v/>
      </c>
      <c r="E851" s="38" t="str">
        <f t="shared" si="53"/>
        <v/>
      </c>
      <c r="G851" s="1"/>
      <c r="L851" s="39" t="str">
        <f t="shared" si="54"/>
        <v/>
      </c>
      <c r="T851" s="39" t="str">
        <f t="shared" si="55"/>
        <v/>
      </c>
    </row>
    <row r="852" spans="4:20" x14ac:dyDescent="0.25">
      <c r="D852" s="38" t="str">
        <f t="shared" si="52"/>
        <v/>
      </c>
      <c r="E852" s="38" t="str">
        <f t="shared" si="53"/>
        <v/>
      </c>
      <c r="G852" s="1"/>
      <c r="L852" s="39" t="str">
        <f t="shared" si="54"/>
        <v/>
      </c>
      <c r="T852" s="39" t="str">
        <f t="shared" si="55"/>
        <v/>
      </c>
    </row>
    <row r="853" spans="4:20" x14ac:dyDescent="0.25">
      <c r="D853" s="38" t="str">
        <f t="shared" si="52"/>
        <v/>
      </c>
      <c r="E853" s="38" t="str">
        <f t="shared" si="53"/>
        <v/>
      </c>
      <c r="G853" s="1"/>
      <c r="L853" s="39" t="str">
        <f t="shared" si="54"/>
        <v/>
      </c>
      <c r="T853" s="39" t="str">
        <f t="shared" si="55"/>
        <v/>
      </c>
    </row>
    <row r="854" spans="4:20" x14ac:dyDescent="0.25">
      <c r="D854" s="38" t="str">
        <f t="shared" si="52"/>
        <v/>
      </c>
      <c r="E854" s="38" t="str">
        <f t="shared" si="53"/>
        <v/>
      </c>
      <c r="G854" s="1"/>
      <c r="L854" s="39" t="str">
        <f t="shared" si="54"/>
        <v/>
      </c>
      <c r="T854" s="39" t="str">
        <f t="shared" si="55"/>
        <v/>
      </c>
    </row>
    <row r="855" spans="4:20" x14ac:dyDescent="0.25">
      <c r="D855" s="38" t="str">
        <f t="shared" si="52"/>
        <v/>
      </c>
      <c r="E855" s="38" t="str">
        <f t="shared" si="53"/>
        <v/>
      </c>
      <c r="G855" s="1"/>
      <c r="L855" s="39" t="str">
        <f t="shared" si="54"/>
        <v/>
      </c>
      <c r="T855" s="39" t="str">
        <f t="shared" si="55"/>
        <v/>
      </c>
    </row>
    <row r="856" spans="4:20" x14ac:dyDescent="0.25">
      <c r="D856" s="38" t="str">
        <f t="shared" si="52"/>
        <v/>
      </c>
      <c r="E856" s="38" t="str">
        <f t="shared" si="53"/>
        <v/>
      </c>
      <c r="G856" s="1"/>
      <c r="L856" s="39" t="str">
        <f t="shared" si="54"/>
        <v/>
      </c>
      <c r="T856" s="39" t="str">
        <f t="shared" si="55"/>
        <v/>
      </c>
    </row>
    <row r="857" spans="4:20" x14ac:dyDescent="0.25">
      <c r="D857" s="38" t="str">
        <f t="shared" si="52"/>
        <v/>
      </c>
      <c r="E857" s="38" t="str">
        <f t="shared" si="53"/>
        <v/>
      </c>
      <c r="G857" s="1"/>
      <c r="L857" s="39" t="str">
        <f t="shared" si="54"/>
        <v/>
      </c>
      <c r="T857" s="39" t="str">
        <f t="shared" si="55"/>
        <v/>
      </c>
    </row>
    <row r="858" spans="4:20" x14ac:dyDescent="0.25">
      <c r="D858" s="38" t="str">
        <f t="shared" si="52"/>
        <v/>
      </c>
      <c r="E858" s="38" t="str">
        <f t="shared" si="53"/>
        <v/>
      </c>
      <c r="G858" s="1"/>
      <c r="L858" s="39" t="str">
        <f t="shared" si="54"/>
        <v/>
      </c>
      <c r="T858" s="39" t="str">
        <f t="shared" si="55"/>
        <v/>
      </c>
    </row>
    <row r="859" spans="4:20" x14ac:dyDescent="0.25">
      <c r="D859" s="38" t="str">
        <f t="shared" si="52"/>
        <v/>
      </c>
      <c r="E859" s="38" t="str">
        <f t="shared" si="53"/>
        <v/>
      </c>
      <c r="G859" s="1"/>
      <c r="L859" s="39" t="str">
        <f t="shared" si="54"/>
        <v/>
      </c>
      <c r="T859" s="39" t="str">
        <f t="shared" si="55"/>
        <v/>
      </c>
    </row>
    <row r="860" spans="4:20" x14ac:dyDescent="0.25">
      <c r="D860" s="38" t="str">
        <f t="shared" si="52"/>
        <v/>
      </c>
      <c r="E860" s="38" t="str">
        <f t="shared" si="53"/>
        <v/>
      </c>
      <c r="G860" s="1"/>
      <c r="L860" s="39" t="str">
        <f t="shared" si="54"/>
        <v/>
      </c>
      <c r="T860" s="39" t="str">
        <f t="shared" si="55"/>
        <v/>
      </c>
    </row>
    <row r="861" spans="4:20" x14ac:dyDescent="0.25">
      <c r="D861" s="38" t="str">
        <f t="shared" si="52"/>
        <v/>
      </c>
      <c r="E861" s="38" t="str">
        <f t="shared" si="53"/>
        <v/>
      </c>
      <c r="G861" s="1"/>
      <c r="L861" s="39" t="str">
        <f t="shared" si="54"/>
        <v/>
      </c>
      <c r="T861" s="39" t="str">
        <f t="shared" si="55"/>
        <v/>
      </c>
    </row>
    <row r="862" spans="4:20" x14ac:dyDescent="0.25">
      <c r="D862" s="38" t="str">
        <f t="shared" si="52"/>
        <v/>
      </c>
      <c r="E862" s="38" t="str">
        <f t="shared" si="53"/>
        <v/>
      </c>
      <c r="G862" s="1"/>
      <c r="L862" s="39" t="str">
        <f t="shared" si="54"/>
        <v/>
      </c>
      <c r="T862" s="39" t="str">
        <f t="shared" si="55"/>
        <v/>
      </c>
    </row>
    <row r="863" spans="4:20" x14ac:dyDescent="0.25">
      <c r="D863" s="38" t="str">
        <f t="shared" si="52"/>
        <v/>
      </c>
      <c r="E863" s="38" t="str">
        <f t="shared" si="53"/>
        <v/>
      </c>
      <c r="G863" s="1"/>
      <c r="L863" s="39" t="str">
        <f t="shared" si="54"/>
        <v/>
      </c>
      <c r="T863" s="39" t="str">
        <f t="shared" si="55"/>
        <v/>
      </c>
    </row>
    <row r="864" spans="4:20" x14ac:dyDescent="0.25">
      <c r="D864" s="38" t="str">
        <f t="shared" si="52"/>
        <v/>
      </c>
      <c r="E864" s="38" t="str">
        <f t="shared" si="53"/>
        <v/>
      </c>
      <c r="G864" s="1"/>
      <c r="L864" s="39" t="str">
        <f t="shared" si="54"/>
        <v/>
      </c>
      <c r="T864" s="39" t="str">
        <f t="shared" si="55"/>
        <v/>
      </c>
    </row>
    <row r="865" spans="4:20" x14ac:dyDescent="0.25">
      <c r="D865" s="38" t="str">
        <f t="shared" si="52"/>
        <v/>
      </c>
      <c r="E865" s="38" t="str">
        <f t="shared" si="53"/>
        <v/>
      </c>
      <c r="G865" s="1"/>
      <c r="L865" s="39" t="str">
        <f t="shared" si="54"/>
        <v/>
      </c>
      <c r="T865" s="39" t="str">
        <f t="shared" si="55"/>
        <v/>
      </c>
    </row>
    <row r="866" spans="4:20" x14ac:dyDescent="0.25">
      <c r="D866" s="38" t="str">
        <f t="shared" si="52"/>
        <v/>
      </c>
      <c r="E866" s="38" t="str">
        <f t="shared" si="53"/>
        <v/>
      </c>
      <c r="G866" s="1"/>
      <c r="L866" s="39" t="str">
        <f t="shared" si="54"/>
        <v/>
      </c>
      <c r="T866" s="39" t="str">
        <f t="shared" si="55"/>
        <v/>
      </c>
    </row>
    <row r="867" spans="4:20" x14ac:dyDescent="0.25">
      <c r="D867" s="38" t="str">
        <f t="shared" si="52"/>
        <v/>
      </c>
      <c r="E867" s="38" t="str">
        <f t="shared" si="53"/>
        <v/>
      </c>
      <c r="G867" s="1"/>
      <c r="L867" s="39" t="str">
        <f t="shared" si="54"/>
        <v/>
      </c>
      <c r="T867" s="39" t="str">
        <f t="shared" si="55"/>
        <v/>
      </c>
    </row>
    <row r="868" spans="4:20" x14ac:dyDescent="0.25">
      <c r="D868" s="38" t="str">
        <f t="shared" si="52"/>
        <v/>
      </c>
      <c r="E868" s="38" t="str">
        <f t="shared" si="53"/>
        <v/>
      </c>
      <c r="G868" s="1"/>
      <c r="L868" s="39" t="str">
        <f t="shared" si="54"/>
        <v/>
      </c>
      <c r="T868" s="39" t="str">
        <f t="shared" si="55"/>
        <v/>
      </c>
    </row>
    <row r="869" spans="4:20" x14ac:dyDescent="0.25">
      <c r="D869" s="38" t="str">
        <f t="shared" si="52"/>
        <v/>
      </c>
      <c r="E869" s="38" t="str">
        <f t="shared" si="53"/>
        <v/>
      </c>
      <c r="G869" s="1"/>
      <c r="L869" s="39" t="str">
        <f t="shared" si="54"/>
        <v/>
      </c>
      <c r="T869" s="39" t="str">
        <f t="shared" si="55"/>
        <v/>
      </c>
    </row>
    <row r="870" spans="4:20" x14ac:dyDescent="0.25">
      <c r="D870" s="38" t="str">
        <f t="shared" si="52"/>
        <v/>
      </c>
      <c r="E870" s="38" t="str">
        <f t="shared" si="53"/>
        <v/>
      </c>
      <c r="G870" s="1"/>
      <c r="L870" s="39" t="str">
        <f t="shared" si="54"/>
        <v/>
      </c>
      <c r="T870" s="39" t="str">
        <f t="shared" si="55"/>
        <v/>
      </c>
    </row>
    <row r="871" spans="4:20" x14ac:dyDescent="0.25">
      <c r="D871" s="38" t="str">
        <f t="shared" si="52"/>
        <v/>
      </c>
      <c r="E871" s="38" t="str">
        <f t="shared" si="53"/>
        <v/>
      </c>
      <c r="G871" s="1"/>
      <c r="L871" s="39" t="str">
        <f t="shared" si="54"/>
        <v/>
      </c>
      <c r="T871" s="39" t="str">
        <f t="shared" si="55"/>
        <v/>
      </c>
    </row>
    <row r="872" spans="4:20" x14ac:dyDescent="0.25">
      <c r="D872" s="38" t="str">
        <f t="shared" si="52"/>
        <v/>
      </c>
      <c r="E872" s="38" t="str">
        <f t="shared" si="53"/>
        <v/>
      </c>
      <c r="G872" s="1"/>
      <c r="L872" s="39" t="str">
        <f t="shared" si="54"/>
        <v/>
      </c>
      <c r="T872" s="39" t="str">
        <f t="shared" si="55"/>
        <v/>
      </c>
    </row>
    <row r="873" spans="4:20" x14ac:dyDescent="0.25">
      <c r="D873" s="38" t="str">
        <f t="shared" si="52"/>
        <v/>
      </c>
      <c r="E873" s="38" t="str">
        <f t="shared" si="53"/>
        <v/>
      </c>
      <c r="G873" s="1"/>
      <c r="L873" s="39" t="str">
        <f t="shared" si="54"/>
        <v/>
      </c>
      <c r="T873" s="39" t="str">
        <f t="shared" si="55"/>
        <v/>
      </c>
    </row>
    <row r="874" spans="4:20" x14ac:dyDescent="0.25">
      <c r="D874" s="38" t="str">
        <f t="shared" si="52"/>
        <v/>
      </c>
      <c r="E874" s="38" t="str">
        <f t="shared" si="53"/>
        <v/>
      </c>
      <c r="G874" s="1"/>
      <c r="L874" s="39" t="str">
        <f t="shared" si="54"/>
        <v/>
      </c>
      <c r="T874" s="39" t="str">
        <f t="shared" si="55"/>
        <v/>
      </c>
    </row>
    <row r="875" spans="4:20" x14ac:dyDescent="0.25">
      <c r="D875" s="38" t="str">
        <f t="shared" si="52"/>
        <v/>
      </c>
      <c r="E875" s="38" t="str">
        <f t="shared" si="53"/>
        <v/>
      </c>
      <c r="G875" s="1"/>
      <c r="L875" s="39" t="str">
        <f t="shared" si="54"/>
        <v/>
      </c>
      <c r="T875" s="39" t="str">
        <f t="shared" si="55"/>
        <v/>
      </c>
    </row>
    <row r="876" spans="4:20" x14ac:dyDescent="0.25">
      <c r="D876" s="38" t="str">
        <f t="shared" si="52"/>
        <v/>
      </c>
      <c r="E876" s="38" t="str">
        <f t="shared" si="53"/>
        <v/>
      </c>
      <c r="G876" s="1"/>
      <c r="L876" s="39" t="str">
        <f t="shared" si="54"/>
        <v/>
      </c>
      <c r="T876" s="39" t="str">
        <f t="shared" si="55"/>
        <v/>
      </c>
    </row>
    <row r="877" spans="4:20" x14ac:dyDescent="0.25">
      <c r="D877" s="38" t="str">
        <f t="shared" si="52"/>
        <v/>
      </c>
      <c r="E877" s="38" t="str">
        <f t="shared" si="53"/>
        <v/>
      </c>
      <c r="G877" s="1"/>
      <c r="L877" s="39" t="str">
        <f t="shared" si="54"/>
        <v/>
      </c>
      <c r="T877" s="39" t="str">
        <f t="shared" si="55"/>
        <v/>
      </c>
    </row>
    <row r="878" spans="4:20" x14ac:dyDescent="0.25">
      <c r="D878" s="38" t="str">
        <f t="shared" si="52"/>
        <v/>
      </c>
      <c r="E878" s="38" t="str">
        <f t="shared" si="53"/>
        <v/>
      </c>
      <c r="G878" s="1"/>
      <c r="L878" s="39" t="str">
        <f t="shared" si="54"/>
        <v/>
      </c>
      <c r="T878" s="39" t="str">
        <f t="shared" si="55"/>
        <v/>
      </c>
    </row>
    <row r="879" spans="4:20" x14ac:dyDescent="0.25">
      <c r="D879" s="38" t="str">
        <f t="shared" si="52"/>
        <v/>
      </c>
      <c r="E879" s="38" t="str">
        <f t="shared" si="53"/>
        <v/>
      </c>
      <c r="G879" s="1"/>
      <c r="L879" s="39" t="str">
        <f t="shared" si="54"/>
        <v/>
      </c>
      <c r="T879" s="39" t="str">
        <f t="shared" si="55"/>
        <v/>
      </c>
    </row>
    <row r="880" spans="4:20" x14ac:dyDescent="0.25">
      <c r="D880" s="38" t="str">
        <f t="shared" si="52"/>
        <v/>
      </c>
      <c r="E880" s="38" t="str">
        <f t="shared" si="53"/>
        <v/>
      </c>
      <c r="G880" s="1"/>
      <c r="L880" s="39" t="str">
        <f t="shared" si="54"/>
        <v/>
      </c>
      <c r="T880" s="39" t="str">
        <f t="shared" si="55"/>
        <v/>
      </c>
    </row>
    <row r="881" spans="4:20" x14ac:dyDescent="0.25">
      <c r="D881" s="38" t="str">
        <f t="shared" si="52"/>
        <v/>
      </c>
      <c r="E881" s="38" t="str">
        <f t="shared" si="53"/>
        <v/>
      </c>
      <c r="G881" s="1"/>
      <c r="L881" s="39" t="str">
        <f t="shared" si="54"/>
        <v/>
      </c>
      <c r="T881" s="39" t="str">
        <f t="shared" si="55"/>
        <v/>
      </c>
    </row>
    <row r="882" spans="4:20" x14ac:dyDescent="0.25">
      <c r="D882" s="38" t="str">
        <f t="shared" si="52"/>
        <v/>
      </c>
      <c r="E882" s="38" t="str">
        <f t="shared" si="53"/>
        <v/>
      </c>
      <c r="G882" s="1"/>
      <c r="L882" s="39" t="str">
        <f t="shared" si="54"/>
        <v/>
      </c>
      <c r="T882" s="39" t="str">
        <f t="shared" si="55"/>
        <v/>
      </c>
    </row>
    <row r="883" spans="4:20" x14ac:dyDescent="0.25">
      <c r="D883" s="38" t="str">
        <f t="shared" si="52"/>
        <v/>
      </c>
      <c r="E883" s="38" t="str">
        <f t="shared" si="53"/>
        <v/>
      </c>
      <c r="G883" s="1"/>
      <c r="L883" s="39" t="str">
        <f t="shared" si="54"/>
        <v/>
      </c>
      <c r="T883" s="39" t="str">
        <f t="shared" si="55"/>
        <v/>
      </c>
    </row>
    <row r="884" spans="4:20" x14ac:dyDescent="0.25">
      <c r="D884" s="38" t="str">
        <f t="shared" si="52"/>
        <v/>
      </c>
      <c r="E884" s="38" t="str">
        <f t="shared" si="53"/>
        <v/>
      </c>
      <c r="G884" s="1"/>
      <c r="L884" s="39" t="str">
        <f t="shared" si="54"/>
        <v/>
      </c>
      <c r="T884" s="39" t="str">
        <f t="shared" si="55"/>
        <v/>
      </c>
    </row>
    <row r="885" spans="4:20" x14ac:dyDescent="0.25">
      <c r="D885" s="38" t="str">
        <f t="shared" si="52"/>
        <v/>
      </c>
      <c r="E885" s="38" t="str">
        <f t="shared" si="53"/>
        <v/>
      </c>
      <c r="G885" s="1"/>
      <c r="L885" s="39" t="str">
        <f t="shared" si="54"/>
        <v/>
      </c>
      <c r="T885" s="39" t="str">
        <f t="shared" si="55"/>
        <v/>
      </c>
    </row>
    <row r="886" spans="4:20" x14ac:dyDescent="0.25">
      <c r="D886" s="38" t="str">
        <f t="shared" si="52"/>
        <v/>
      </c>
      <c r="E886" s="38" t="str">
        <f t="shared" si="53"/>
        <v/>
      </c>
      <c r="G886" s="1"/>
      <c r="L886" s="39" t="str">
        <f t="shared" si="54"/>
        <v/>
      </c>
      <c r="T886" s="39" t="str">
        <f t="shared" si="55"/>
        <v/>
      </c>
    </row>
    <row r="887" spans="4:20" x14ac:dyDescent="0.25">
      <c r="D887" s="38" t="str">
        <f t="shared" si="52"/>
        <v/>
      </c>
      <c r="E887" s="38" t="str">
        <f t="shared" si="53"/>
        <v/>
      </c>
      <c r="G887" s="1"/>
      <c r="L887" s="39" t="str">
        <f t="shared" si="54"/>
        <v/>
      </c>
      <c r="T887" s="39" t="str">
        <f t="shared" si="55"/>
        <v/>
      </c>
    </row>
    <row r="888" spans="4:20" x14ac:dyDescent="0.25">
      <c r="D888" s="38" t="str">
        <f t="shared" si="52"/>
        <v/>
      </c>
      <c r="E888" s="38" t="str">
        <f t="shared" si="53"/>
        <v/>
      </c>
      <c r="G888" s="1"/>
      <c r="L888" s="39" t="str">
        <f t="shared" si="54"/>
        <v/>
      </c>
      <c r="T888" s="39" t="str">
        <f t="shared" si="55"/>
        <v/>
      </c>
    </row>
    <row r="889" spans="4:20" x14ac:dyDescent="0.25">
      <c r="D889" s="38" t="str">
        <f t="shared" si="52"/>
        <v/>
      </c>
      <c r="E889" s="38" t="str">
        <f t="shared" si="53"/>
        <v/>
      </c>
      <c r="G889" s="1"/>
      <c r="L889" s="39" t="str">
        <f t="shared" si="54"/>
        <v/>
      </c>
      <c r="T889" s="39" t="str">
        <f t="shared" si="55"/>
        <v/>
      </c>
    </row>
    <row r="890" spans="4:20" x14ac:dyDescent="0.25">
      <c r="D890" s="38" t="str">
        <f t="shared" si="52"/>
        <v/>
      </c>
      <c r="E890" s="38" t="str">
        <f t="shared" si="53"/>
        <v/>
      </c>
      <c r="G890" s="1"/>
      <c r="L890" s="39" t="str">
        <f t="shared" si="54"/>
        <v/>
      </c>
      <c r="T890" s="39" t="str">
        <f t="shared" si="55"/>
        <v/>
      </c>
    </row>
    <row r="891" spans="4:20" x14ac:dyDescent="0.25">
      <c r="D891" s="38" t="str">
        <f t="shared" si="52"/>
        <v/>
      </c>
      <c r="E891" s="38" t="str">
        <f t="shared" si="53"/>
        <v/>
      </c>
      <c r="G891" s="1"/>
      <c r="L891" s="39" t="str">
        <f t="shared" si="54"/>
        <v/>
      </c>
      <c r="T891" s="39" t="str">
        <f t="shared" si="55"/>
        <v/>
      </c>
    </row>
    <row r="892" spans="4:20" x14ac:dyDescent="0.25">
      <c r="D892" s="38" t="str">
        <f t="shared" si="52"/>
        <v/>
      </c>
      <c r="E892" s="38" t="str">
        <f t="shared" si="53"/>
        <v/>
      </c>
      <c r="G892" s="1"/>
      <c r="L892" s="39" t="str">
        <f t="shared" si="54"/>
        <v/>
      </c>
      <c r="T892" s="39" t="str">
        <f t="shared" si="55"/>
        <v/>
      </c>
    </row>
    <row r="893" spans="4:20" x14ac:dyDescent="0.25">
      <c r="D893" s="38" t="str">
        <f t="shared" si="52"/>
        <v/>
      </c>
      <c r="E893" s="38" t="str">
        <f t="shared" si="53"/>
        <v/>
      </c>
      <c r="G893" s="1"/>
      <c r="L893" s="39" t="str">
        <f t="shared" si="54"/>
        <v/>
      </c>
      <c r="T893" s="39" t="str">
        <f t="shared" si="55"/>
        <v/>
      </c>
    </row>
    <row r="894" spans="4:20" x14ac:dyDescent="0.25">
      <c r="D894" s="38" t="str">
        <f t="shared" si="52"/>
        <v/>
      </c>
      <c r="E894" s="38" t="str">
        <f t="shared" si="53"/>
        <v/>
      </c>
      <c r="G894" s="1"/>
      <c r="L894" s="39" t="str">
        <f t="shared" si="54"/>
        <v/>
      </c>
      <c r="T894" s="39" t="str">
        <f t="shared" si="55"/>
        <v/>
      </c>
    </row>
    <row r="895" spans="4:20" x14ac:dyDescent="0.25">
      <c r="D895" s="38" t="str">
        <f t="shared" si="52"/>
        <v/>
      </c>
      <c r="E895" s="38" t="str">
        <f t="shared" si="53"/>
        <v/>
      </c>
      <c r="G895" s="1"/>
      <c r="L895" s="39" t="str">
        <f t="shared" si="54"/>
        <v/>
      </c>
      <c r="T895" s="39" t="str">
        <f t="shared" si="55"/>
        <v/>
      </c>
    </row>
    <row r="896" spans="4:20" x14ac:dyDescent="0.25">
      <c r="D896" s="38" t="str">
        <f t="shared" si="52"/>
        <v/>
      </c>
      <c r="E896" s="38" t="str">
        <f t="shared" si="53"/>
        <v/>
      </c>
      <c r="G896" s="1"/>
      <c r="L896" s="39" t="str">
        <f t="shared" si="54"/>
        <v/>
      </c>
      <c r="T896" s="39" t="str">
        <f t="shared" si="55"/>
        <v/>
      </c>
    </row>
    <row r="897" spans="4:20" x14ac:dyDescent="0.25">
      <c r="D897" s="38" t="str">
        <f t="shared" si="52"/>
        <v/>
      </c>
      <c r="E897" s="38" t="str">
        <f t="shared" si="53"/>
        <v/>
      </c>
      <c r="G897" s="1"/>
      <c r="L897" s="39" t="str">
        <f t="shared" si="54"/>
        <v/>
      </c>
      <c r="T897" s="39" t="str">
        <f t="shared" si="55"/>
        <v/>
      </c>
    </row>
    <row r="898" spans="4:20" x14ac:dyDescent="0.25">
      <c r="D898" s="38" t="str">
        <f t="shared" ref="D898:D961" si="56">IF($B898="", "", CHOOSE(MONTH($B898), "Gennaio","Febbraio","Marzo","Aprile","Maggio","Giugno","Luglio","Agosto","Settembre","Ottobre","Novembre","Dicembre"))</f>
        <v/>
      </c>
      <c r="E898" s="38" t="str">
        <f t="shared" ref="E898:E961" si="57">IF($B898="", "", CHOOSE(WEEKDAY($B898,2), "Lunedì","Martedì","Mercoledì","Giovedì","Venerdì","Sabato","Domenica"))</f>
        <v/>
      </c>
      <c r="G898" s="1"/>
      <c r="L898" s="39" t="str">
        <f t="shared" ref="L898:L961" si="58">IF($K898="Target", $G898*$H898, IF($K898="Stop Loss", -$G898, IF($K898="Breakeven", 0, "")))</f>
        <v/>
      </c>
      <c r="T898" s="39" t="str">
        <f t="shared" si="55"/>
        <v/>
      </c>
    </row>
    <row r="899" spans="4:20" x14ac:dyDescent="0.25">
      <c r="D899" s="38" t="str">
        <f t="shared" si="56"/>
        <v/>
      </c>
      <c r="E899" s="38" t="str">
        <f t="shared" si="57"/>
        <v/>
      </c>
      <c r="G899" s="1"/>
      <c r="L899" s="39" t="str">
        <f t="shared" si="58"/>
        <v/>
      </c>
      <c r="T899" s="39" t="str">
        <f t="shared" ref="T899:T962" si="59">IF($L899="", "", $T898 + $L899)</f>
        <v/>
      </c>
    </row>
    <row r="900" spans="4:20" x14ac:dyDescent="0.25">
      <c r="D900" s="38" t="str">
        <f t="shared" si="56"/>
        <v/>
      </c>
      <c r="E900" s="38" t="str">
        <f t="shared" si="57"/>
        <v/>
      </c>
      <c r="G900" s="1"/>
      <c r="L900" s="39" t="str">
        <f t="shared" si="58"/>
        <v/>
      </c>
      <c r="T900" s="39" t="str">
        <f t="shared" si="59"/>
        <v/>
      </c>
    </row>
    <row r="901" spans="4:20" x14ac:dyDescent="0.25">
      <c r="D901" s="38" t="str">
        <f t="shared" si="56"/>
        <v/>
      </c>
      <c r="E901" s="38" t="str">
        <f t="shared" si="57"/>
        <v/>
      </c>
      <c r="G901" s="1"/>
      <c r="L901" s="39" t="str">
        <f t="shared" si="58"/>
        <v/>
      </c>
      <c r="T901" s="39" t="str">
        <f t="shared" si="59"/>
        <v/>
      </c>
    </row>
    <row r="902" spans="4:20" x14ac:dyDescent="0.25">
      <c r="D902" s="38" t="str">
        <f t="shared" si="56"/>
        <v/>
      </c>
      <c r="E902" s="38" t="str">
        <f t="shared" si="57"/>
        <v/>
      </c>
      <c r="G902" s="1"/>
      <c r="L902" s="39" t="str">
        <f t="shared" si="58"/>
        <v/>
      </c>
      <c r="T902" s="39" t="str">
        <f t="shared" si="59"/>
        <v/>
      </c>
    </row>
    <row r="903" spans="4:20" x14ac:dyDescent="0.25">
      <c r="D903" s="38" t="str">
        <f t="shared" si="56"/>
        <v/>
      </c>
      <c r="E903" s="38" t="str">
        <f t="shared" si="57"/>
        <v/>
      </c>
      <c r="G903" s="1"/>
      <c r="L903" s="39" t="str">
        <f t="shared" si="58"/>
        <v/>
      </c>
      <c r="T903" s="39" t="str">
        <f t="shared" si="59"/>
        <v/>
      </c>
    </row>
    <row r="904" spans="4:20" x14ac:dyDescent="0.25">
      <c r="D904" s="38" t="str">
        <f t="shared" si="56"/>
        <v/>
      </c>
      <c r="E904" s="38" t="str">
        <f t="shared" si="57"/>
        <v/>
      </c>
      <c r="G904" s="1"/>
      <c r="L904" s="39" t="str">
        <f t="shared" si="58"/>
        <v/>
      </c>
      <c r="T904" s="39" t="str">
        <f t="shared" si="59"/>
        <v/>
      </c>
    </row>
    <row r="905" spans="4:20" x14ac:dyDescent="0.25">
      <c r="D905" s="38" t="str">
        <f t="shared" si="56"/>
        <v/>
      </c>
      <c r="E905" s="38" t="str">
        <f t="shared" si="57"/>
        <v/>
      </c>
      <c r="G905" s="1"/>
      <c r="L905" s="39" t="str">
        <f t="shared" si="58"/>
        <v/>
      </c>
      <c r="T905" s="39" t="str">
        <f t="shared" si="59"/>
        <v/>
      </c>
    </row>
    <row r="906" spans="4:20" x14ac:dyDescent="0.25">
      <c r="D906" s="38" t="str">
        <f t="shared" si="56"/>
        <v/>
      </c>
      <c r="E906" s="38" t="str">
        <f t="shared" si="57"/>
        <v/>
      </c>
      <c r="G906" s="1"/>
      <c r="L906" s="39" t="str">
        <f t="shared" si="58"/>
        <v/>
      </c>
      <c r="T906" s="39" t="str">
        <f t="shared" si="59"/>
        <v/>
      </c>
    </row>
    <row r="907" spans="4:20" x14ac:dyDescent="0.25">
      <c r="D907" s="38" t="str">
        <f t="shared" si="56"/>
        <v/>
      </c>
      <c r="E907" s="38" t="str">
        <f t="shared" si="57"/>
        <v/>
      </c>
      <c r="G907" s="1"/>
      <c r="L907" s="39" t="str">
        <f t="shared" si="58"/>
        <v/>
      </c>
      <c r="T907" s="39" t="str">
        <f t="shared" si="59"/>
        <v/>
      </c>
    </row>
    <row r="908" spans="4:20" x14ac:dyDescent="0.25">
      <c r="D908" s="38" t="str">
        <f t="shared" si="56"/>
        <v/>
      </c>
      <c r="E908" s="38" t="str">
        <f t="shared" si="57"/>
        <v/>
      </c>
      <c r="G908" s="1"/>
      <c r="L908" s="39" t="str">
        <f t="shared" si="58"/>
        <v/>
      </c>
      <c r="T908" s="39" t="str">
        <f t="shared" si="59"/>
        <v/>
      </c>
    </row>
    <row r="909" spans="4:20" x14ac:dyDescent="0.25">
      <c r="D909" s="38" t="str">
        <f t="shared" si="56"/>
        <v/>
      </c>
      <c r="E909" s="38" t="str">
        <f t="shared" si="57"/>
        <v/>
      </c>
      <c r="G909" s="1"/>
      <c r="L909" s="39" t="str">
        <f t="shared" si="58"/>
        <v/>
      </c>
      <c r="T909" s="39" t="str">
        <f t="shared" si="59"/>
        <v/>
      </c>
    </row>
    <row r="910" spans="4:20" x14ac:dyDescent="0.25">
      <c r="D910" s="38" t="str">
        <f t="shared" si="56"/>
        <v/>
      </c>
      <c r="E910" s="38" t="str">
        <f t="shared" si="57"/>
        <v/>
      </c>
      <c r="G910" s="1"/>
      <c r="L910" s="39" t="str">
        <f t="shared" si="58"/>
        <v/>
      </c>
      <c r="T910" s="39" t="str">
        <f t="shared" si="59"/>
        <v/>
      </c>
    </row>
    <row r="911" spans="4:20" x14ac:dyDescent="0.25">
      <c r="D911" s="38" t="str">
        <f t="shared" si="56"/>
        <v/>
      </c>
      <c r="E911" s="38" t="str">
        <f t="shared" si="57"/>
        <v/>
      </c>
      <c r="G911" s="1"/>
      <c r="L911" s="39" t="str">
        <f t="shared" si="58"/>
        <v/>
      </c>
      <c r="T911" s="39" t="str">
        <f t="shared" si="59"/>
        <v/>
      </c>
    </row>
    <row r="912" spans="4:20" x14ac:dyDescent="0.25">
      <c r="D912" s="38" t="str">
        <f t="shared" si="56"/>
        <v/>
      </c>
      <c r="E912" s="38" t="str">
        <f t="shared" si="57"/>
        <v/>
      </c>
      <c r="G912" s="1"/>
      <c r="L912" s="39" t="str">
        <f t="shared" si="58"/>
        <v/>
      </c>
      <c r="T912" s="39" t="str">
        <f t="shared" si="59"/>
        <v/>
      </c>
    </row>
    <row r="913" spans="4:20" x14ac:dyDescent="0.25">
      <c r="D913" s="38" t="str">
        <f t="shared" si="56"/>
        <v/>
      </c>
      <c r="E913" s="38" t="str">
        <f t="shared" si="57"/>
        <v/>
      </c>
      <c r="G913" s="1"/>
      <c r="L913" s="39" t="str">
        <f t="shared" si="58"/>
        <v/>
      </c>
      <c r="T913" s="39" t="str">
        <f t="shared" si="59"/>
        <v/>
      </c>
    </row>
    <row r="914" spans="4:20" x14ac:dyDescent="0.25">
      <c r="D914" s="38" t="str">
        <f t="shared" si="56"/>
        <v/>
      </c>
      <c r="E914" s="38" t="str">
        <f t="shared" si="57"/>
        <v/>
      </c>
      <c r="G914" s="1"/>
      <c r="L914" s="39" t="str">
        <f t="shared" si="58"/>
        <v/>
      </c>
      <c r="T914" s="39" t="str">
        <f t="shared" si="59"/>
        <v/>
      </c>
    </row>
    <row r="915" spans="4:20" x14ac:dyDescent="0.25">
      <c r="D915" s="38" t="str">
        <f t="shared" si="56"/>
        <v/>
      </c>
      <c r="E915" s="38" t="str">
        <f t="shared" si="57"/>
        <v/>
      </c>
      <c r="G915" s="1"/>
      <c r="L915" s="39" t="str">
        <f t="shared" si="58"/>
        <v/>
      </c>
      <c r="T915" s="39" t="str">
        <f t="shared" si="59"/>
        <v/>
      </c>
    </row>
    <row r="916" spans="4:20" x14ac:dyDescent="0.25">
      <c r="D916" s="38" t="str">
        <f t="shared" si="56"/>
        <v/>
      </c>
      <c r="E916" s="38" t="str">
        <f t="shared" si="57"/>
        <v/>
      </c>
      <c r="G916" s="1"/>
      <c r="L916" s="39" t="str">
        <f t="shared" si="58"/>
        <v/>
      </c>
      <c r="T916" s="39" t="str">
        <f t="shared" si="59"/>
        <v/>
      </c>
    </row>
    <row r="917" spans="4:20" x14ac:dyDescent="0.25">
      <c r="D917" s="38" t="str">
        <f t="shared" si="56"/>
        <v/>
      </c>
      <c r="E917" s="38" t="str">
        <f t="shared" si="57"/>
        <v/>
      </c>
      <c r="G917" s="1"/>
      <c r="L917" s="39" t="str">
        <f t="shared" si="58"/>
        <v/>
      </c>
      <c r="T917" s="39" t="str">
        <f t="shared" si="59"/>
        <v/>
      </c>
    </row>
    <row r="918" spans="4:20" x14ac:dyDescent="0.25">
      <c r="D918" s="38" t="str">
        <f t="shared" si="56"/>
        <v/>
      </c>
      <c r="E918" s="38" t="str">
        <f t="shared" si="57"/>
        <v/>
      </c>
      <c r="G918" s="1"/>
      <c r="L918" s="39" t="str">
        <f t="shared" si="58"/>
        <v/>
      </c>
      <c r="T918" s="39" t="str">
        <f t="shared" si="59"/>
        <v/>
      </c>
    </row>
    <row r="919" spans="4:20" x14ac:dyDescent="0.25">
      <c r="D919" s="38" t="str">
        <f t="shared" si="56"/>
        <v/>
      </c>
      <c r="E919" s="38" t="str">
        <f t="shared" si="57"/>
        <v/>
      </c>
      <c r="G919" s="1"/>
      <c r="L919" s="39" t="str">
        <f t="shared" si="58"/>
        <v/>
      </c>
      <c r="T919" s="39" t="str">
        <f t="shared" si="59"/>
        <v/>
      </c>
    </row>
    <row r="920" spans="4:20" x14ac:dyDescent="0.25">
      <c r="D920" s="38" t="str">
        <f t="shared" si="56"/>
        <v/>
      </c>
      <c r="E920" s="38" t="str">
        <f t="shared" si="57"/>
        <v/>
      </c>
      <c r="G920" s="1"/>
      <c r="L920" s="39" t="str">
        <f t="shared" si="58"/>
        <v/>
      </c>
      <c r="T920" s="39" t="str">
        <f t="shared" si="59"/>
        <v/>
      </c>
    </row>
    <row r="921" spans="4:20" x14ac:dyDescent="0.25">
      <c r="D921" s="38" t="str">
        <f t="shared" si="56"/>
        <v/>
      </c>
      <c r="E921" s="38" t="str">
        <f t="shared" si="57"/>
        <v/>
      </c>
      <c r="G921" s="1"/>
      <c r="L921" s="39" t="str">
        <f t="shared" si="58"/>
        <v/>
      </c>
      <c r="T921" s="39" t="str">
        <f t="shared" si="59"/>
        <v/>
      </c>
    </row>
    <row r="922" spans="4:20" x14ac:dyDescent="0.25">
      <c r="D922" s="38" t="str">
        <f t="shared" si="56"/>
        <v/>
      </c>
      <c r="E922" s="38" t="str">
        <f t="shared" si="57"/>
        <v/>
      </c>
      <c r="G922" s="1"/>
      <c r="L922" s="39" t="str">
        <f t="shared" si="58"/>
        <v/>
      </c>
      <c r="T922" s="39" t="str">
        <f t="shared" si="59"/>
        <v/>
      </c>
    </row>
    <row r="923" spans="4:20" x14ac:dyDescent="0.25">
      <c r="D923" s="38" t="str">
        <f t="shared" si="56"/>
        <v/>
      </c>
      <c r="E923" s="38" t="str">
        <f t="shared" si="57"/>
        <v/>
      </c>
      <c r="G923" s="1"/>
      <c r="L923" s="39" t="str">
        <f t="shared" si="58"/>
        <v/>
      </c>
      <c r="T923" s="39" t="str">
        <f t="shared" si="59"/>
        <v/>
      </c>
    </row>
    <row r="924" spans="4:20" x14ac:dyDescent="0.25">
      <c r="D924" s="38" t="str">
        <f t="shared" si="56"/>
        <v/>
      </c>
      <c r="E924" s="38" t="str">
        <f t="shared" si="57"/>
        <v/>
      </c>
      <c r="G924" s="1"/>
      <c r="L924" s="39" t="str">
        <f t="shared" si="58"/>
        <v/>
      </c>
      <c r="T924" s="39" t="str">
        <f t="shared" si="59"/>
        <v/>
      </c>
    </row>
    <row r="925" spans="4:20" x14ac:dyDescent="0.25">
      <c r="D925" s="38" t="str">
        <f t="shared" si="56"/>
        <v/>
      </c>
      <c r="E925" s="38" t="str">
        <f t="shared" si="57"/>
        <v/>
      </c>
      <c r="G925" s="1"/>
      <c r="L925" s="39" t="str">
        <f t="shared" si="58"/>
        <v/>
      </c>
      <c r="T925" s="39" t="str">
        <f t="shared" si="59"/>
        <v/>
      </c>
    </row>
    <row r="926" spans="4:20" x14ac:dyDescent="0.25">
      <c r="D926" s="38" t="str">
        <f t="shared" si="56"/>
        <v/>
      </c>
      <c r="E926" s="38" t="str">
        <f t="shared" si="57"/>
        <v/>
      </c>
      <c r="G926" s="1"/>
      <c r="L926" s="39" t="str">
        <f t="shared" si="58"/>
        <v/>
      </c>
      <c r="T926" s="39" t="str">
        <f t="shared" si="59"/>
        <v/>
      </c>
    </row>
    <row r="927" spans="4:20" x14ac:dyDescent="0.25">
      <c r="D927" s="38" t="str">
        <f t="shared" si="56"/>
        <v/>
      </c>
      <c r="E927" s="38" t="str">
        <f t="shared" si="57"/>
        <v/>
      </c>
      <c r="G927" s="1"/>
      <c r="L927" s="39" t="str">
        <f t="shared" si="58"/>
        <v/>
      </c>
      <c r="T927" s="39" t="str">
        <f t="shared" si="59"/>
        <v/>
      </c>
    </row>
    <row r="928" spans="4:20" x14ac:dyDescent="0.25">
      <c r="D928" s="38" t="str">
        <f t="shared" si="56"/>
        <v/>
      </c>
      <c r="E928" s="38" t="str">
        <f t="shared" si="57"/>
        <v/>
      </c>
      <c r="G928" s="1"/>
      <c r="L928" s="39" t="str">
        <f t="shared" si="58"/>
        <v/>
      </c>
      <c r="T928" s="39" t="str">
        <f t="shared" si="59"/>
        <v/>
      </c>
    </row>
    <row r="929" spans="4:20" x14ac:dyDescent="0.25">
      <c r="D929" s="38" t="str">
        <f t="shared" si="56"/>
        <v/>
      </c>
      <c r="E929" s="38" t="str">
        <f t="shared" si="57"/>
        <v/>
      </c>
      <c r="G929" s="1"/>
      <c r="L929" s="39" t="str">
        <f t="shared" si="58"/>
        <v/>
      </c>
      <c r="T929" s="39" t="str">
        <f t="shared" si="59"/>
        <v/>
      </c>
    </row>
    <row r="930" spans="4:20" x14ac:dyDescent="0.25">
      <c r="D930" s="38" t="str">
        <f t="shared" si="56"/>
        <v/>
      </c>
      <c r="E930" s="38" t="str">
        <f t="shared" si="57"/>
        <v/>
      </c>
      <c r="G930" s="1"/>
      <c r="L930" s="39" t="str">
        <f t="shared" si="58"/>
        <v/>
      </c>
      <c r="T930" s="39" t="str">
        <f t="shared" si="59"/>
        <v/>
      </c>
    </row>
    <row r="931" spans="4:20" x14ac:dyDescent="0.25">
      <c r="D931" s="38" t="str">
        <f t="shared" si="56"/>
        <v/>
      </c>
      <c r="E931" s="38" t="str">
        <f t="shared" si="57"/>
        <v/>
      </c>
      <c r="G931" s="1"/>
      <c r="L931" s="39" t="str">
        <f t="shared" si="58"/>
        <v/>
      </c>
      <c r="T931" s="39" t="str">
        <f t="shared" si="59"/>
        <v/>
      </c>
    </row>
    <row r="932" spans="4:20" x14ac:dyDescent="0.25">
      <c r="D932" s="38" t="str">
        <f t="shared" si="56"/>
        <v/>
      </c>
      <c r="E932" s="38" t="str">
        <f t="shared" si="57"/>
        <v/>
      </c>
      <c r="G932" s="1"/>
      <c r="L932" s="39" t="str">
        <f t="shared" si="58"/>
        <v/>
      </c>
      <c r="T932" s="39" t="str">
        <f t="shared" si="59"/>
        <v/>
      </c>
    </row>
    <row r="933" spans="4:20" x14ac:dyDescent="0.25">
      <c r="D933" s="38" t="str">
        <f t="shared" si="56"/>
        <v/>
      </c>
      <c r="E933" s="38" t="str">
        <f t="shared" si="57"/>
        <v/>
      </c>
      <c r="G933" s="1"/>
      <c r="L933" s="39" t="str">
        <f t="shared" si="58"/>
        <v/>
      </c>
      <c r="T933" s="39" t="str">
        <f t="shared" si="59"/>
        <v/>
      </c>
    </row>
    <row r="934" spans="4:20" x14ac:dyDescent="0.25">
      <c r="D934" s="38" t="str">
        <f t="shared" si="56"/>
        <v/>
      </c>
      <c r="E934" s="38" t="str">
        <f t="shared" si="57"/>
        <v/>
      </c>
      <c r="G934" s="1"/>
      <c r="L934" s="39" t="str">
        <f t="shared" si="58"/>
        <v/>
      </c>
      <c r="T934" s="39" t="str">
        <f t="shared" si="59"/>
        <v/>
      </c>
    </row>
    <row r="935" spans="4:20" x14ac:dyDescent="0.25">
      <c r="D935" s="38" t="str">
        <f t="shared" si="56"/>
        <v/>
      </c>
      <c r="E935" s="38" t="str">
        <f t="shared" si="57"/>
        <v/>
      </c>
      <c r="G935" s="1"/>
      <c r="L935" s="39" t="str">
        <f t="shared" si="58"/>
        <v/>
      </c>
      <c r="T935" s="39" t="str">
        <f t="shared" si="59"/>
        <v/>
      </c>
    </row>
    <row r="936" spans="4:20" x14ac:dyDescent="0.25">
      <c r="D936" s="38" t="str">
        <f t="shared" si="56"/>
        <v/>
      </c>
      <c r="E936" s="38" t="str">
        <f t="shared" si="57"/>
        <v/>
      </c>
      <c r="G936" s="1"/>
      <c r="L936" s="39" t="str">
        <f t="shared" si="58"/>
        <v/>
      </c>
      <c r="T936" s="39" t="str">
        <f t="shared" si="59"/>
        <v/>
      </c>
    </row>
    <row r="937" spans="4:20" x14ac:dyDescent="0.25">
      <c r="D937" s="38" t="str">
        <f t="shared" si="56"/>
        <v/>
      </c>
      <c r="E937" s="38" t="str">
        <f t="shared" si="57"/>
        <v/>
      </c>
      <c r="G937" s="1"/>
      <c r="L937" s="39" t="str">
        <f t="shared" si="58"/>
        <v/>
      </c>
      <c r="T937" s="39" t="str">
        <f t="shared" si="59"/>
        <v/>
      </c>
    </row>
    <row r="938" spans="4:20" x14ac:dyDescent="0.25">
      <c r="D938" s="38" t="str">
        <f t="shared" si="56"/>
        <v/>
      </c>
      <c r="E938" s="38" t="str">
        <f t="shared" si="57"/>
        <v/>
      </c>
      <c r="G938" s="1"/>
      <c r="L938" s="39" t="str">
        <f t="shared" si="58"/>
        <v/>
      </c>
      <c r="T938" s="39" t="str">
        <f t="shared" si="59"/>
        <v/>
      </c>
    </row>
    <row r="939" spans="4:20" x14ac:dyDescent="0.25">
      <c r="D939" s="38" t="str">
        <f t="shared" si="56"/>
        <v/>
      </c>
      <c r="E939" s="38" t="str">
        <f t="shared" si="57"/>
        <v/>
      </c>
      <c r="G939" s="1"/>
      <c r="L939" s="39" t="str">
        <f t="shared" si="58"/>
        <v/>
      </c>
      <c r="T939" s="39" t="str">
        <f t="shared" si="59"/>
        <v/>
      </c>
    </row>
    <row r="940" spans="4:20" x14ac:dyDescent="0.25">
      <c r="D940" s="38" t="str">
        <f t="shared" si="56"/>
        <v/>
      </c>
      <c r="E940" s="38" t="str">
        <f t="shared" si="57"/>
        <v/>
      </c>
      <c r="G940" s="1"/>
      <c r="L940" s="39" t="str">
        <f t="shared" si="58"/>
        <v/>
      </c>
      <c r="T940" s="39" t="str">
        <f t="shared" si="59"/>
        <v/>
      </c>
    </row>
    <row r="941" spans="4:20" x14ac:dyDescent="0.25">
      <c r="D941" s="38" t="str">
        <f t="shared" si="56"/>
        <v/>
      </c>
      <c r="E941" s="38" t="str">
        <f t="shared" si="57"/>
        <v/>
      </c>
      <c r="G941" s="1"/>
      <c r="L941" s="39" t="str">
        <f t="shared" si="58"/>
        <v/>
      </c>
      <c r="T941" s="39" t="str">
        <f t="shared" si="59"/>
        <v/>
      </c>
    </row>
    <row r="942" spans="4:20" x14ac:dyDescent="0.25">
      <c r="D942" s="38" t="str">
        <f t="shared" si="56"/>
        <v/>
      </c>
      <c r="E942" s="38" t="str">
        <f t="shared" si="57"/>
        <v/>
      </c>
      <c r="G942" s="1"/>
      <c r="L942" s="39" t="str">
        <f t="shared" si="58"/>
        <v/>
      </c>
      <c r="T942" s="39" t="str">
        <f t="shared" si="59"/>
        <v/>
      </c>
    </row>
    <row r="943" spans="4:20" x14ac:dyDescent="0.25">
      <c r="D943" s="38" t="str">
        <f t="shared" si="56"/>
        <v/>
      </c>
      <c r="E943" s="38" t="str">
        <f t="shared" si="57"/>
        <v/>
      </c>
      <c r="G943" s="1"/>
      <c r="L943" s="39" t="str">
        <f t="shared" si="58"/>
        <v/>
      </c>
      <c r="T943" s="39" t="str">
        <f t="shared" si="59"/>
        <v/>
      </c>
    </row>
    <row r="944" spans="4:20" x14ac:dyDescent="0.25">
      <c r="D944" s="38" t="str">
        <f t="shared" si="56"/>
        <v/>
      </c>
      <c r="E944" s="38" t="str">
        <f t="shared" si="57"/>
        <v/>
      </c>
      <c r="G944" s="1"/>
      <c r="L944" s="39" t="str">
        <f t="shared" si="58"/>
        <v/>
      </c>
      <c r="T944" s="39" t="str">
        <f t="shared" si="59"/>
        <v/>
      </c>
    </row>
    <row r="945" spans="4:20" x14ac:dyDescent="0.25">
      <c r="D945" s="38" t="str">
        <f t="shared" si="56"/>
        <v/>
      </c>
      <c r="E945" s="38" t="str">
        <f t="shared" si="57"/>
        <v/>
      </c>
      <c r="G945" s="1"/>
      <c r="L945" s="39" t="str">
        <f t="shared" si="58"/>
        <v/>
      </c>
      <c r="T945" s="39" t="str">
        <f t="shared" si="59"/>
        <v/>
      </c>
    </row>
    <row r="946" spans="4:20" x14ac:dyDescent="0.25">
      <c r="D946" s="38" t="str">
        <f t="shared" si="56"/>
        <v/>
      </c>
      <c r="E946" s="38" t="str">
        <f t="shared" si="57"/>
        <v/>
      </c>
      <c r="G946" s="1"/>
      <c r="L946" s="39" t="str">
        <f t="shared" si="58"/>
        <v/>
      </c>
      <c r="T946" s="39" t="str">
        <f t="shared" si="59"/>
        <v/>
      </c>
    </row>
    <row r="947" spans="4:20" x14ac:dyDescent="0.25">
      <c r="D947" s="38" t="str">
        <f t="shared" si="56"/>
        <v/>
      </c>
      <c r="E947" s="38" t="str">
        <f t="shared" si="57"/>
        <v/>
      </c>
      <c r="G947" s="1"/>
      <c r="L947" s="39" t="str">
        <f t="shared" si="58"/>
        <v/>
      </c>
      <c r="T947" s="39" t="str">
        <f t="shared" si="59"/>
        <v/>
      </c>
    </row>
    <row r="948" spans="4:20" x14ac:dyDescent="0.25">
      <c r="D948" s="38" t="str">
        <f t="shared" si="56"/>
        <v/>
      </c>
      <c r="E948" s="38" t="str">
        <f t="shared" si="57"/>
        <v/>
      </c>
      <c r="G948" s="1"/>
      <c r="L948" s="39" t="str">
        <f t="shared" si="58"/>
        <v/>
      </c>
      <c r="T948" s="39" t="str">
        <f t="shared" si="59"/>
        <v/>
      </c>
    </row>
    <row r="949" spans="4:20" x14ac:dyDescent="0.25">
      <c r="D949" s="38" t="str">
        <f t="shared" si="56"/>
        <v/>
      </c>
      <c r="E949" s="38" t="str">
        <f t="shared" si="57"/>
        <v/>
      </c>
      <c r="G949" s="1"/>
      <c r="L949" s="39" t="str">
        <f t="shared" si="58"/>
        <v/>
      </c>
      <c r="T949" s="39" t="str">
        <f t="shared" si="59"/>
        <v/>
      </c>
    </row>
    <row r="950" spans="4:20" x14ac:dyDescent="0.25">
      <c r="D950" s="38" t="str">
        <f t="shared" si="56"/>
        <v/>
      </c>
      <c r="E950" s="38" t="str">
        <f t="shared" si="57"/>
        <v/>
      </c>
      <c r="G950" s="1"/>
      <c r="L950" s="39" t="str">
        <f t="shared" si="58"/>
        <v/>
      </c>
      <c r="T950" s="39" t="str">
        <f t="shared" si="59"/>
        <v/>
      </c>
    </row>
    <row r="951" spans="4:20" x14ac:dyDescent="0.25">
      <c r="D951" s="38" t="str">
        <f t="shared" si="56"/>
        <v/>
      </c>
      <c r="E951" s="38" t="str">
        <f t="shared" si="57"/>
        <v/>
      </c>
      <c r="G951" s="1"/>
      <c r="L951" s="39" t="str">
        <f t="shared" si="58"/>
        <v/>
      </c>
      <c r="T951" s="39" t="str">
        <f t="shared" si="59"/>
        <v/>
      </c>
    </row>
    <row r="952" spans="4:20" x14ac:dyDescent="0.25">
      <c r="D952" s="38" t="str">
        <f t="shared" si="56"/>
        <v/>
      </c>
      <c r="E952" s="38" t="str">
        <f t="shared" si="57"/>
        <v/>
      </c>
      <c r="G952" s="1"/>
      <c r="L952" s="39" t="str">
        <f t="shared" si="58"/>
        <v/>
      </c>
      <c r="T952" s="39" t="str">
        <f t="shared" si="59"/>
        <v/>
      </c>
    </row>
    <row r="953" spans="4:20" x14ac:dyDescent="0.25">
      <c r="D953" s="38" t="str">
        <f t="shared" si="56"/>
        <v/>
      </c>
      <c r="E953" s="38" t="str">
        <f t="shared" si="57"/>
        <v/>
      </c>
      <c r="G953" s="1"/>
      <c r="L953" s="39" t="str">
        <f t="shared" si="58"/>
        <v/>
      </c>
      <c r="T953" s="39" t="str">
        <f t="shared" si="59"/>
        <v/>
      </c>
    </row>
    <row r="954" spans="4:20" x14ac:dyDescent="0.25">
      <c r="D954" s="38" t="str">
        <f t="shared" si="56"/>
        <v/>
      </c>
      <c r="E954" s="38" t="str">
        <f t="shared" si="57"/>
        <v/>
      </c>
      <c r="G954" s="1"/>
      <c r="L954" s="39" t="str">
        <f t="shared" si="58"/>
        <v/>
      </c>
      <c r="T954" s="39" t="str">
        <f t="shared" si="59"/>
        <v/>
      </c>
    </row>
    <row r="955" spans="4:20" x14ac:dyDescent="0.25">
      <c r="D955" s="38" t="str">
        <f t="shared" si="56"/>
        <v/>
      </c>
      <c r="E955" s="38" t="str">
        <f t="shared" si="57"/>
        <v/>
      </c>
      <c r="G955" s="1"/>
      <c r="L955" s="39" t="str">
        <f t="shared" si="58"/>
        <v/>
      </c>
      <c r="T955" s="39" t="str">
        <f t="shared" si="59"/>
        <v/>
      </c>
    </row>
    <row r="956" spans="4:20" x14ac:dyDescent="0.25">
      <c r="D956" s="38" t="str">
        <f t="shared" si="56"/>
        <v/>
      </c>
      <c r="E956" s="38" t="str">
        <f t="shared" si="57"/>
        <v/>
      </c>
      <c r="G956" s="1"/>
      <c r="L956" s="39" t="str">
        <f t="shared" si="58"/>
        <v/>
      </c>
      <c r="T956" s="39" t="str">
        <f t="shared" si="59"/>
        <v/>
      </c>
    </row>
    <row r="957" spans="4:20" x14ac:dyDescent="0.25">
      <c r="D957" s="38" t="str">
        <f t="shared" si="56"/>
        <v/>
      </c>
      <c r="E957" s="38" t="str">
        <f t="shared" si="57"/>
        <v/>
      </c>
      <c r="G957" s="1"/>
      <c r="L957" s="39" t="str">
        <f t="shared" si="58"/>
        <v/>
      </c>
      <c r="T957" s="39" t="str">
        <f t="shared" si="59"/>
        <v/>
      </c>
    </row>
    <row r="958" spans="4:20" x14ac:dyDescent="0.25">
      <c r="D958" s="38" t="str">
        <f t="shared" si="56"/>
        <v/>
      </c>
      <c r="E958" s="38" t="str">
        <f t="shared" si="57"/>
        <v/>
      </c>
      <c r="G958" s="1"/>
      <c r="L958" s="39" t="str">
        <f t="shared" si="58"/>
        <v/>
      </c>
      <c r="T958" s="39" t="str">
        <f t="shared" si="59"/>
        <v/>
      </c>
    </row>
    <row r="959" spans="4:20" x14ac:dyDescent="0.25">
      <c r="D959" s="38" t="str">
        <f t="shared" si="56"/>
        <v/>
      </c>
      <c r="E959" s="38" t="str">
        <f t="shared" si="57"/>
        <v/>
      </c>
      <c r="G959" s="1"/>
      <c r="L959" s="39" t="str">
        <f t="shared" si="58"/>
        <v/>
      </c>
      <c r="T959" s="39" t="str">
        <f t="shared" si="59"/>
        <v/>
      </c>
    </row>
    <row r="960" spans="4:20" x14ac:dyDescent="0.25">
      <c r="D960" s="38" t="str">
        <f t="shared" si="56"/>
        <v/>
      </c>
      <c r="E960" s="38" t="str">
        <f t="shared" si="57"/>
        <v/>
      </c>
      <c r="G960" s="1"/>
      <c r="L960" s="39" t="str">
        <f t="shared" si="58"/>
        <v/>
      </c>
      <c r="T960" s="39" t="str">
        <f t="shared" si="59"/>
        <v/>
      </c>
    </row>
    <row r="961" spans="4:20" x14ac:dyDescent="0.25">
      <c r="D961" s="38" t="str">
        <f t="shared" si="56"/>
        <v/>
      </c>
      <c r="E961" s="38" t="str">
        <f t="shared" si="57"/>
        <v/>
      </c>
      <c r="G961" s="1"/>
      <c r="L961" s="39" t="str">
        <f t="shared" si="58"/>
        <v/>
      </c>
      <c r="T961" s="39" t="str">
        <f t="shared" si="59"/>
        <v/>
      </c>
    </row>
    <row r="962" spans="4:20" x14ac:dyDescent="0.25">
      <c r="D962" s="38" t="str">
        <f t="shared" ref="D962:D1025" si="60">IF($B962="", "", CHOOSE(MONTH($B962), "Gennaio","Febbraio","Marzo","Aprile","Maggio","Giugno","Luglio","Agosto","Settembre","Ottobre","Novembre","Dicembre"))</f>
        <v/>
      </c>
      <c r="E962" s="38" t="str">
        <f t="shared" ref="E962:E1025" si="61">IF($B962="", "", CHOOSE(WEEKDAY($B962,2), "Lunedì","Martedì","Mercoledì","Giovedì","Venerdì","Sabato","Domenica"))</f>
        <v/>
      </c>
      <c r="G962" s="1"/>
      <c r="L962" s="39" t="str">
        <f t="shared" ref="L962:L1025" si="62">IF($K962="Target", $G962*$H962, IF($K962="Stop Loss", -$G962, IF($K962="Breakeven", 0, "")))</f>
        <v/>
      </c>
      <c r="T962" s="39" t="str">
        <f t="shared" si="59"/>
        <v/>
      </c>
    </row>
    <row r="963" spans="4:20" x14ac:dyDescent="0.25">
      <c r="D963" s="38" t="str">
        <f t="shared" si="60"/>
        <v/>
      </c>
      <c r="E963" s="38" t="str">
        <f t="shared" si="61"/>
        <v/>
      </c>
      <c r="G963" s="1"/>
      <c r="L963" s="39" t="str">
        <f t="shared" si="62"/>
        <v/>
      </c>
      <c r="T963" s="39" t="str">
        <f t="shared" ref="T963:T1026" si="63">IF($L963="", "", $T962 + $L963)</f>
        <v/>
      </c>
    </row>
    <row r="964" spans="4:20" x14ac:dyDescent="0.25">
      <c r="D964" s="38" t="str">
        <f t="shared" si="60"/>
        <v/>
      </c>
      <c r="E964" s="38" t="str">
        <f t="shared" si="61"/>
        <v/>
      </c>
      <c r="G964" s="1"/>
      <c r="L964" s="39" t="str">
        <f t="shared" si="62"/>
        <v/>
      </c>
      <c r="T964" s="39" t="str">
        <f t="shared" si="63"/>
        <v/>
      </c>
    </row>
    <row r="965" spans="4:20" x14ac:dyDescent="0.25">
      <c r="D965" s="38" t="str">
        <f t="shared" si="60"/>
        <v/>
      </c>
      <c r="E965" s="38" t="str">
        <f t="shared" si="61"/>
        <v/>
      </c>
      <c r="G965" s="1"/>
      <c r="L965" s="39" t="str">
        <f t="shared" si="62"/>
        <v/>
      </c>
      <c r="T965" s="39" t="str">
        <f t="shared" si="63"/>
        <v/>
      </c>
    </row>
    <row r="966" spans="4:20" x14ac:dyDescent="0.25">
      <c r="D966" s="38" t="str">
        <f t="shared" si="60"/>
        <v/>
      </c>
      <c r="E966" s="38" t="str">
        <f t="shared" si="61"/>
        <v/>
      </c>
      <c r="G966" s="1"/>
      <c r="L966" s="39" t="str">
        <f t="shared" si="62"/>
        <v/>
      </c>
      <c r="T966" s="39" t="str">
        <f t="shared" si="63"/>
        <v/>
      </c>
    </row>
    <row r="967" spans="4:20" x14ac:dyDescent="0.25">
      <c r="D967" s="38" t="str">
        <f t="shared" si="60"/>
        <v/>
      </c>
      <c r="E967" s="38" t="str">
        <f t="shared" si="61"/>
        <v/>
      </c>
      <c r="G967" s="1"/>
      <c r="L967" s="39" t="str">
        <f t="shared" si="62"/>
        <v/>
      </c>
      <c r="T967" s="39" t="str">
        <f t="shared" si="63"/>
        <v/>
      </c>
    </row>
    <row r="968" spans="4:20" x14ac:dyDescent="0.25">
      <c r="D968" s="38" t="str">
        <f t="shared" si="60"/>
        <v/>
      </c>
      <c r="E968" s="38" t="str">
        <f t="shared" si="61"/>
        <v/>
      </c>
      <c r="G968" s="1"/>
      <c r="L968" s="39" t="str">
        <f t="shared" si="62"/>
        <v/>
      </c>
      <c r="T968" s="39" t="str">
        <f t="shared" si="63"/>
        <v/>
      </c>
    </row>
    <row r="969" spans="4:20" x14ac:dyDescent="0.25">
      <c r="D969" s="38" t="str">
        <f t="shared" si="60"/>
        <v/>
      </c>
      <c r="E969" s="38" t="str">
        <f t="shared" si="61"/>
        <v/>
      </c>
      <c r="G969" s="1"/>
      <c r="L969" s="39" t="str">
        <f t="shared" si="62"/>
        <v/>
      </c>
      <c r="T969" s="39" t="str">
        <f t="shared" si="63"/>
        <v/>
      </c>
    </row>
    <row r="970" spans="4:20" x14ac:dyDescent="0.25">
      <c r="D970" s="38" t="str">
        <f t="shared" si="60"/>
        <v/>
      </c>
      <c r="E970" s="38" t="str">
        <f t="shared" si="61"/>
        <v/>
      </c>
      <c r="G970" s="1"/>
      <c r="L970" s="39" t="str">
        <f t="shared" si="62"/>
        <v/>
      </c>
      <c r="T970" s="39" t="str">
        <f t="shared" si="63"/>
        <v/>
      </c>
    </row>
    <row r="971" spans="4:20" x14ac:dyDescent="0.25">
      <c r="D971" s="38" t="str">
        <f t="shared" si="60"/>
        <v/>
      </c>
      <c r="E971" s="38" t="str">
        <f t="shared" si="61"/>
        <v/>
      </c>
      <c r="G971" s="1"/>
      <c r="L971" s="39" t="str">
        <f t="shared" si="62"/>
        <v/>
      </c>
      <c r="T971" s="39" t="str">
        <f t="shared" si="63"/>
        <v/>
      </c>
    </row>
    <row r="972" spans="4:20" x14ac:dyDescent="0.25">
      <c r="D972" s="38" t="str">
        <f t="shared" si="60"/>
        <v/>
      </c>
      <c r="E972" s="38" t="str">
        <f t="shared" si="61"/>
        <v/>
      </c>
      <c r="G972" s="1"/>
      <c r="L972" s="39" t="str">
        <f t="shared" si="62"/>
        <v/>
      </c>
      <c r="T972" s="39" t="str">
        <f t="shared" si="63"/>
        <v/>
      </c>
    </row>
    <row r="973" spans="4:20" x14ac:dyDescent="0.25">
      <c r="D973" s="38" t="str">
        <f t="shared" si="60"/>
        <v/>
      </c>
      <c r="E973" s="38" t="str">
        <f t="shared" si="61"/>
        <v/>
      </c>
      <c r="G973" s="1"/>
      <c r="L973" s="39" t="str">
        <f t="shared" si="62"/>
        <v/>
      </c>
      <c r="T973" s="39" t="str">
        <f t="shared" si="63"/>
        <v/>
      </c>
    </row>
    <row r="974" spans="4:20" x14ac:dyDescent="0.25">
      <c r="D974" s="38" t="str">
        <f t="shared" si="60"/>
        <v/>
      </c>
      <c r="E974" s="38" t="str">
        <f t="shared" si="61"/>
        <v/>
      </c>
      <c r="G974" s="1"/>
      <c r="L974" s="39" t="str">
        <f t="shared" si="62"/>
        <v/>
      </c>
      <c r="T974" s="39" t="str">
        <f t="shared" si="63"/>
        <v/>
      </c>
    </row>
    <row r="975" spans="4:20" x14ac:dyDescent="0.25">
      <c r="D975" s="38" t="str">
        <f t="shared" si="60"/>
        <v/>
      </c>
      <c r="E975" s="38" t="str">
        <f t="shared" si="61"/>
        <v/>
      </c>
      <c r="G975" s="1"/>
      <c r="L975" s="39" t="str">
        <f t="shared" si="62"/>
        <v/>
      </c>
      <c r="T975" s="39" t="str">
        <f t="shared" si="63"/>
        <v/>
      </c>
    </row>
    <row r="976" spans="4:20" x14ac:dyDescent="0.25">
      <c r="D976" s="38" t="str">
        <f t="shared" si="60"/>
        <v/>
      </c>
      <c r="E976" s="38" t="str">
        <f t="shared" si="61"/>
        <v/>
      </c>
      <c r="G976" s="1"/>
      <c r="L976" s="39" t="str">
        <f t="shared" si="62"/>
        <v/>
      </c>
      <c r="T976" s="39" t="str">
        <f t="shared" si="63"/>
        <v/>
      </c>
    </row>
    <row r="977" spans="4:20" x14ac:dyDescent="0.25">
      <c r="D977" s="38" t="str">
        <f t="shared" si="60"/>
        <v/>
      </c>
      <c r="E977" s="38" t="str">
        <f t="shared" si="61"/>
        <v/>
      </c>
      <c r="G977" s="1"/>
      <c r="L977" s="39" t="str">
        <f t="shared" si="62"/>
        <v/>
      </c>
      <c r="T977" s="39" t="str">
        <f t="shared" si="63"/>
        <v/>
      </c>
    </row>
    <row r="978" spans="4:20" x14ac:dyDescent="0.25">
      <c r="D978" s="38" t="str">
        <f t="shared" si="60"/>
        <v/>
      </c>
      <c r="E978" s="38" t="str">
        <f t="shared" si="61"/>
        <v/>
      </c>
      <c r="G978" s="1"/>
      <c r="L978" s="39" t="str">
        <f t="shared" si="62"/>
        <v/>
      </c>
      <c r="T978" s="39" t="str">
        <f t="shared" si="63"/>
        <v/>
      </c>
    </row>
    <row r="979" spans="4:20" x14ac:dyDescent="0.25">
      <c r="D979" s="38" t="str">
        <f t="shared" si="60"/>
        <v/>
      </c>
      <c r="E979" s="38" t="str">
        <f t="shared" si="61"/>
        <v/>
      </c>
      <c r="G979" s="1"/>
      <c r="L979" s="39" t="str">
        <f t="shared" si="62"/>
        <v/>
      </c>
      <c r="T979" s="39" t="str">
        <f t="shared" si="63"/>
        <v/>
      </c>
    </row>
    <row r="980" spans="4:20" x14ac:dyDescent="0.25">
      <c r="D980" s="38" t="str">
        <f t="shared" si="60"/>
        <v/>
      </c>
      <c r="E980" s="38" t="str">
        <f t="shared" si="61"/>
        <v/>
      </c>
      <c r="G980" s="1"/>
      <c r="L980" s="39" t="str">
        <f t="shared" si="62"/>
        <v/>
      </c>
      <c r="T980" s="39" t="str">
        <f t="shared" si="63"/>
        <v/>
      </c>
    </row>
    <row r="981" spans="4:20" x14ac:dyDescent="0.25">
      <c r="D981" s="38" t="str">
        <f t="shared" si="60"/>
        <v/>
      </c>
      <c r="E981" s="38" t="str">
        <f t="shared" si="61"/>
        <v/>
      </c>
      <c r="G981" s="1"/>
      <c r="L981" s="39" t="str">
        <f t="shared" si="62"/>
        <v/>
      </c>
      <c r="T981" s="39" t="str">
        <f t="shared" si="63"/>
        <v/>
      </c>
    </row>
    <row r="982" spans="4:20" x14ac:dyDescent="0.25">
      <c r="D982" s="38" t="str">
        <f t="shared" si="60"/>
        <v/>
      </c>
      <c r="E982" s="38" t="str">
        <f t="shared" si="61"/>
        <v/>
      </c>
      <c r="G982" s="1"/>
      <c r="L982" s="39" t="str">
        <f t="shared" si="62"/>
        <v/>
      </c>
      <c r="T982" s="39" t="str">
        <f t="shared" si="63"/>
        <v/>
      </c>
    </row>
    <row r="983" spans="4:20" x14ac:dyDescent="0.25">
      <c r="D983" s="38" t="str">
        <f t="shared" si="60"/>
        <v/>
      </c>
      <c r="E983" s="38" t="str">
        <f t="shared" si="61"/>
        <v/>
      </c>
      <c r="G983" s="1"/>
      <c r="L983" s="39" t="str">
        <f t="shared" si="62"/>
        <v/>
      </c>
      <c r="T983" s="39" t="str">
        <f t="shared" si="63"/>
        <v/>
      </c>
    </row>
    <row r="984" spans="4:20" x14ac:dyDescent="0.25">
      <c r="D984" s="38" t="str">
        <f t="shared" si="60"/>
        <v/>
      </c>
      <c r="E984" s="38" t="str">
        <f t="shared" si="61"/>
        <v/>
      </c>
      <c r="G984" s="1"/>
      <c r="L984" s="39" t="str">
        <f t="shared" si="62"/>
        <v/>
      </c>
      <c r="T984" s="39" t="str">
        <f t="shared" si="63"/>
        <v/>
      </c>
    </row>
    <row r="985" spans="4:20" x14ac:dyDescent="0.25">
      <c r="D985" s="38" t="str">
        <f t="shared" si="60"/>
        <v/>
      </c>
      <c r="E985" s="38" t="str">
        <f t="shared" si="61"/>
        <v/>
      </c>
      <c r="G985" s="1"/>
      <c r="L985" s="39" t="str">
        <f t="shared" si="62"/>
        <v/>
      </c>
      <c r="T985" s="39" t="str">
        <f t="shared" si="63"/>
        <v/>
      </c>
    </row>
    <row r="986" spans="4:20" x14ac:dyDescent="0.25">
      <c r="D986" s="38" t="str">
        <f t="shared" si="60"/>
        <v/>
      </c>
      <c r="E986" s="38" t="str">
        <f t="shared" si="61"/>
        <v/>
      </c>
      <c r="G986" s="1"/>
      <c r="L986" s="39" t="str">
        <f t="shared" si="62"/>
        <v/>
      </c>
      <c r="T986" s="39" t="str">
        <f t="shared" si="63"/>
        <v/>
      </c>
    </row>
    <row r="987" spans="4:20" x14ac:dyDescent="0.25">
      <c r="D987" s="38" t="str">
        <f t="shared" si="60"/>
        <v/>
      </c>
      <c r="E987" s="38" t="str">
        <f t="shared" si="61"/>
        <v/>
      </c>
      <c r="G987" s="1"/>
      <c r="L987" s="39" t="str">
        <f t="shared" si="62"/>
        <v/>
      </c>
      <c r="T987" s="39" t="str">
        <f t="shared" si="63"/>
        <v/>
      </c>
    </row>
    <row r="988" spans="4:20" x14ac:dyDescent="0.25">
      <c r="D988" s="38" t="str">
        <f t="shared" si="60"/>
        <v/>
      </c>
      <c r="E988" s="38" t="str">
        <f t="shared" si="61"/>
        <v/>
      </c>
      <c r="G988" s="1"/>
      <c r="L988" s="39" t="str">
        <f t="shared" si="62"/>
        <v/>
      </c>
      <c r="T988" s="39" t="str">
        <f t="shared" si="63"/>
        <v/>
      </c>
    </row>
    <row r="989" spans="4:20" x14ac:dyDescent="0.25">
      <c r="D989" s="38" t="str">
        <f t="shared" si="60"/>
        <v/>
      </c>
      <c r="E989" s="38" t="str">
        <f t="shared" si="61"/>
        <v/>
      </c>
      <c r="G989" s="1"/>
      <c r="L989" s="39" t="str">
        <f t="shared" si="62"/>
        <v/>
      </c>
      <c r="T989" s="39" t="str">
        <f t="shared" si="63"/>
        <v/>
      </c>
    </row>
    <row r="990" spans="4:20" x14ac:dyDescent="0.25">
      <c r="D990" s="38" t="str">
        <f t="shared" si="60"/>
        <v/>
      </c>
      <c r="E990" s="38" t="str">
        <f t="shared" si="61"/>
        <v/>
      </c>
      <c r="G990" s="1"/>
      <c r="L990" s="39" t="str">
        <f t="shared" si="62"/>
        <v/>
      </c>
      <c r="T990" s="39" t="str">
        <f t="shared" si="63"/>
        <v/>
      </c>
    </row>
    <row r="991" spans="4:20" x14ac:dyDescent="0.25">
      <c r="D991" s="38" t="str">
        <f t="shared" si="60"/>
        <v/>
      </c>
      <c r="E991" s="38" t="str">
        <f t="shared" si="61"/>
        <v/>
      </c>
      <c r="G991" s="1"/>
      <c r="L991" s="39" t="str">
        <f t="shared" si="62"/>
        <v/>
      </c>
      <c r="T991" s="39" t="str">
        <f t="shared" si="63"/>
        <v/>
      </c>
    </row>
    <row r="992" spans="4:20" x14ac:dyDescent="0.25">
      <c r="D992" s="38" t="str">
        <f t="shared" si="60"/>
        <v/>
      </c>
      <c r="E992" s="38" t="str">
        <f t="shared" si="61"/>
        <v/>
      </c>
      <c r="G992" s="1"/>
      <c r="L992" s="39" t="str">
        <f t="shared" si="62"/>
        <v/>
      </c>
      <c r="T992" s="39" t="str">
        <f t="shared" si="63"/>
        <v/>
      </c>
    </row>
    <row r="993" spans="4:20" x14ac:dyDescent="0.25">
      <c r="D993" s="38" t="str">
        <f t="shared" si="60"/>
        <v/>
      </c>
      <c r="E993" s="38" t="str">
        <f t="shared" si="61"/>
        <v/>
      </c>
      <c r="G993" s="1"/>
      <c r="L993" s="39" t="str">
        <f t="shared" si="62"/>
        <v/>
      </c>
      <c r="T993" s="39" t="str">
        <f t="shared" si="63"/>
        <v/>
      </c>
    </row>
    <row r="994" spans="4:20" x14ac:dyDescent="0.25">
      <c r="D994" s="38" t="str">
        <f t="shared" si="60"/>
        <v/>
      </c>
      <c r="E994" s="38" t="str">
        <f t="shared" si="61"/>
        <v/>
      </c>
      <c r="G994" s="1"/>
      <c r="L994" s="39" t="str">
        <f t="shared" si="62"/>
        <v/>
      </c>
      <c r="T994" s="39" t="str">
        <f t="shared" si="63"/>
        <v/>
      </c>
    </row>
    <row r="995" spans="4:20" x14ac:dyDescent="0.25">
      <c r="D995" s="38" t="str">
        <f t="shared" si="60"/>
        <v/>
      </c>
      <c r="E995" s="38" t="str">
        <f t="shared" si="61"/>
        <v/>
      </c>
      <c r="G995" s="1"/>
      <c r="L995" s="39" t="str">
        <f t="shared" si="62"/>
        <v/>
      </c>
      <c r="T995" s="39" t="str">
        <f t="shared" si="63"/>
        <v/>
      </c>
    </row>
    <row r="996" spans="4:20" x14ac:dyDescent="0.25">
      <c r="D996" s="38" t="str">
        <f t="shared" si="60"/>
        <v/>
      </c>
      <c r="E996" s="38" t="str">
        <f t="shared" si="61"/>
        <v/>
      </c>
      <c r="G996" s="1"/>
      <c r="L996" s="39" t="str">
        <f t="shared" si="62"/>
        <v/>
      </c>
      <c r="T996" s="39" t="str">
        <f t="shared" si="63"/>
        <v/>
      </c>
    </row>
    <row r="997" spans="4:20" x14ac:dyDescent="0.25">
      <c r="D997" s="38" t="str">
        <f t="shared" si="60"/>
        <v/>
      </c>
      <c r="E997" s="38" t="str">
        <f t="shared" si="61"/>
        <v/>
      </c>
      <c r="G997" s="1"/>
      <c r="L997" s="39" t="str">
        <f t="shared" si="62"/>
        <v/>
      </c>
      <c r="T997" s="39" t="str">
        <f t="shared" si="63"/>
        <v/>
      </c>
    </row>
    <row r="998" spans="4:20" x14ac:dyDescent="0.25">
      <c r="D998" s="38" t="str">
        <f t="shared" si="60"/>
        <v/>
      </c>
      <c r="E998" s="38" t="str">
        <f t="shared" si="61"/>
        <v/>
      </c>
      <c r="G998" s="1"/>
      <c r="L998" s="39" t="str">
        <f t="shared" si="62"/>
        <v/>
      </c>
      <c r="T998" s="39" t="str">
        <f t="shared" si="63"/>
        <v/>
      </c>
    </row>
    <row r="999" spans="4:20" x14ac:dyDescent="0.25">
      <c r="D999" s="38" t="str">
        <f t="shared" si="60"/>
        <v/>
      </c>
      <c r="E999" s="38" t="str">
        <f t="shared" si="61"/>
        <v/>
      </c>
      <c r="G999" s="1"/>
      <c r="L999" s="39" t="str">
        <f t="shared" si="62"/>
        <v/>
      </c>
      <c r="T999" s="39" t="str">
        <f t="shared" si="63"/>
        <v/>
      </c>
    </row>
    <row r="1000" spans="4:20" x14ac:dyDescent="0.25">
      <c r="D1000" s="38" t="str">
        <f t="shared" si="60"/>
        <v/>
      </c>
      <c r="E1000" s="38" t="str">
        <f t="shared" si="61"/>
        <v/>
      </c>
      <c r="G1000" s="1"/>
      <c r="L1000" s="39" t="str">
        <f t="shared" si="62"/>
        <v/>
      </c>
      <c r="T1000" s="39" t="str">
        <f t="shared" si="63"/>
        <v/>
      </c>
    </row>
    <row r="1001" spans="4:20" x14ac:dyDescent="0.25">
      <c r="D1001" s="38" t="str">
        <f t="shared" si="60"/>
        <v/>
      </c>
      <c r="E1001" s="38" t="str">
        <f t="shared" si="61"/>
        <v/>
      </c>
      <c r="G1001" s="1"/>
      <c r="L1001" s="39" t="str">
        <f t="shared" si="62"/>
        <v/>
      </c>
      <c r="T1001" s="39" t="str">
        <f t="shared" si="63"/>
        <v/>
      </c>
    </row>
    <row r="1002" spans="4:20" x14ac:dyDescent="0.25">
      <c r="D1002" s="38" t="str">
        <f t="shared" si="60"/>
        <v/>
      </c>
      <c r="E1002" s="38" t="str">
        <f t="shared" si="61"/>
        <v/>
      </c>
      <c r="G1002" s="1"/>
      <c r="L1002" s="39" t="str">
        <f t="shared" si="62"/>
        <v/>
      </c>
      <c r="T1002" s="39" t="str">
        <f t="shared" si="63"/>
        <v/>
      </c>
    </row>
    <row r="1003" spans="4:20" x14ac:dyDescent="0.25">
      <c r="D1003" s="38" t="str">
        <f t="shared" si="60"/>
        <v/>
      </c>
      <c r="E1003" s="38" t="str">
        <f t="shared" si="61"/>
        <v/>
      </c>
      <c r="G1003" s="1"/>
      <c r="L1003" s="39" t="str">
        <f t="shared" si="62"/>
        <v/>
      </c>
      <c r="T1003" s="39" t="str">
        <f t="shared" si="63"/>
        <v/>
      </c>
    </row>
    <row r="1004" spans="4:20" x14ac:dyDescent="0.25">
      <c r="D1004" s="38" t="str">
        <f t="shared" si="60"/>
        <v/>
      </c>
      <c r="E1004" s="38" t="str">
        <f t="shared" si="61"/>
        <v/>
      </c>
      <c r="G1004" s="1"/>
      <c r="L1004" s="39" t="str">
        <f t="shared" si="62"/>
        <v/>
      </c>
      <c r="T1004" s="39" t="str">
        <f t="shared" si="63"/>
        <v/>
      </c>
    </row>
    <row r="1005" spans="4:20" x14ac:dyDescent="0.25">
      <c r="D1005" s="38" t="str">
        <f t="shared" si="60"/>
        <v/>
      </c>
      <c r="E1005" s="38" t="str">
        <f t="shared" si="61"/>
        <v/>
      </c>
      <c r="G1005" s="1"/>
      <c r="L1005" s="39" t="str">
        <f t="shared" si="62"/>
        <v/>
      </c>
      <c r="T1005" s="39" t="str">
        <f t="shared" si="63"/>
        <v/>
      </c>
    </row>
    <row r="1006" spans="4:20" x14ac:dyDescent="0.25">
      <c r="D1006" s="38" t="str">
        <f t="shared" si="60"/>
        <v/>
      </c>
      <c r="E1006" s="38" t="str">
        <f t="shared" si="61"/>
        <v/>
      </c>
      <c r="G1006" s="1"/>
      <c r="L1006" s="39" t="str">
        <f t="shared" si="62"/>
        <v/>
      </c>
      <c r="T1006" s="39" t="str">
        <f t="shared" si="63"/>
        <v/>
      </c>
    </row>
    <row r="1007" spans="4:20" x14ac:dyDescent="0.25">
      <c r="D1007" s="38" t="str">
        <f t="shared" si="60"/>
        <v/>
      </c>
      <c r="E1007" s="38" t="str">
        <f t="shared" si="61"/>
        <v/>
      </c>
      <c r="G1007" s="1"/>
      <c r="L1007" s="39" t="str">
        <f t="shared" si="62"/>
        <v/>
      </c>
      <c r="T1007" s="39" t="str">
        <f t="shared" si="63"/>
        <v/>
      </c>
    </row>
    <row r="1008" spans="4:20" x14ac:dyDescent="0.25">
      <c r="D1008" s="38" t="str">
        <f t="shared" si="60"/>
        <v/>
      </c>
      <c r="E1008" s="38" t="str">
        <f t="shared" si="61"/>
        <v/>
      </c>
      <c r="G1008" s="1"/>
      <c r="L1008" s="39" t="str">
        <f t="shared" si="62"/>
        <v/>
      </c>
      <c r="T1008" s="39" t="str">
        <f t="shared" si="63"/>
        <v/>
      </c>
    </row>
    <row r="1009" spans="4:20" x14ac:dyDescent="0.25">
      <c r="D1009" s="38" t="str">
        <f t="shared" si="60"/>
        <v/>
      </c>
      <c r="E1009" s="38" t="str">
        <f t="shared" si="61"/>
        <v/>
      </c>
      <c r="G1009" s="1"/>
      <c r="L1009" s="39" t="str">
        <f t="shared" si="62"/>
        <v/>
      </c>
      <c r="T1009" s="39" t="str">
        <f t="shared" si="63"/>
        <v/>
      </c>
    </row>
    <row r="1010" spans="4:20" x14ac:dyDescent="0.25">
      <c r="D1010" s="38" t="str">
        <f t="shared" si="60"/>
        <v/>
      </c>
      <c r="E1010" s="38" t="str">
        <f t="shared" si="61"/>
        <v/>
      </c>
      <c r="G1010" s="1"/>
      <c r="L1010" s="39" t="str">
        <f t="shared" si="62"/>
        <v/>
      </c>
      <c r="T1010" s="39" t="str">
        <f t="shared" si="63"/>
        <v/>
      </c>
    </row>
    <row r="1011" spans="4:20" x14ac:dyDescent="0.25">
      <c r="D1011" s="38" t="str">
        <f t="shared" si="60"/>
        <v/>
      </c>
      <c r="E1011" s="38" t="str">
        <f t="shared" si="61"/>
        <v/>
      </c>
      <c r="G1011" s="1"/>
      <c r="L1011" s="39" t="str">
        <f t="shared" si="62"/>
        <v/>
      </c>
      <c r="T1011" s="39" t="str">
        <f t="shared" si="63"/>
        <v/>
      </c>
    </row>
    <row r="1012" spans="4:20" x14ac:dyDescent="0.25">
      <c r="D1012" s="38" t="str">
        <f t="shared" si="60"/>
        <v/>
      </c>
      <c r="E1012" s="38" t="str">
        <f t="shared" si="61"/>
        <v/>
      </c>
      <c r="G1012" s="1"/>
      <c r="L1012" s="39" t="str">
        <f t="shared" si="62"/>
        <v/>
      </c>
      <c r="T1012" s="39" t="str">
        <f t="shared" si="63"/>
        <v/>
      </c>
    </row>
    <row r="1013" spans="4:20" x14ac:dyDescent="0.25">
      <c r="D1013" s="38" t="str">
        <f t="shared" si="60"/>
        <v/>
      </c>
      <c r="E1013" s="38" t="str">
        <f t="shared" si="61"/>
        <v/>
      </c>
      <c r="G1013" s="1"/>
      <c r="L1013" s="39" t="str">
        <f t="shared" si="62"/>
        <v/>
      </c>
      <c r="T1013" s="39" t="str">
        <f t="shared" si="63"/>
        <v/>
      </c>
    </row>
    <row r="1014" spans="4:20" x14ac:dyDescent="0.25">
      <c r="D1014" s="38" t="str">
        <f t="shared" si="60"/>
        <v/>
      </c>
      <c r="E1014" s="38" t="str">
        <f t="shared" si="61"/>
        <v/>
      </c>
      <c r="G1014" s="1"/>
      <c r="L1014" s="39" t="str">
        <f t="shared" si="62"/>
        <v/>
      </c>
      <c r="T1014" s="39" t="str">
        <f t="shared" si="63"/>
        <v/>
      </c>
    </row>
    <row r="1015" spans="4:20" x14ac:dyDescent="0.25">
      <c r="D1015" s="38" t="str">
        <f t="shared" si="60"/>
        <v/>
      </c>
      <c r="E1015" s="38" t="str">
        <f t="shared" si="61"/>
        <v/>
      </c>
      <c r="G1015" s="1"/>
      <c r="L1015" s="39" t="str">
        <f t="shared" si="62"/>
        <v/>
      </c>
      <c r="T1015" s="39" t="str">
        <f t="shared" si="63"/>
        <v/>
      </c>
    </row>
    <row r="1016" spans="4:20" x14ac:dyDescent="0.25">
      <c r="D1016" s="38" t="str">
        <f t="shared" si="60"/>
        <v/>
      </c>
      <c r="E1016" s="38" t="str">
        <f t="shared" si="61"/>
        <v/>
      </c>
      <c r="G1016" s="1"/>
      <c r="L1016" s="39" t="str">
        <f t="shared" si="62"/>
        <v/>
      </c>
      <c r="T1016" s="39" t="str">
        <f t="shared" si="63"/>
        <v/>
      </c>
    </row>
    <row r="1017" spans="4:20" x14ac:dyDescent="0.25">
      <c r="D1017" s="38" t="str">
        <f t="shared" si="60"/>
        <v/>
      </c>
      <c r="E1017" s="38" t="str">
        <f t="shared" si="61"/>
        <v/>
      </c>
      <c r="G1017" s="1"/>
      <c r="L1017" s="39" t="str">
        <f t="shared" si="62"/>
        <v/>
      </c>
      <c r="T1017" s="39" t="str">
        <f t="shared" si="63"/>
        <v/>
      </c>
    </row>
    <row r="1018" spans="4:20" x14ac:dyDescent="0.25">
      <c r="D1018" s="38" t="str">
        <f t="shared" si="60"/>
        <v/>
      </c>
      <c r="E1018" s="38" t="str">
        <f t="shared" si="61"/>
        <v/>
      </c>
      <c r="G1018" s="1"/>
      <c r="L1018" s="39" t="str">
        <f t="shared" si="62"/>
        <v/>
      </c>
      <c r="T1018" s="39" t="str">
        <f t="shared" si="63"/>
        <v/>
      </c>
    </row>
    <row r="1019" spans="4:20" x14ac:dyDescent="0.25">
      <c r="D1019" s="38" t="str">
        <f t="shared" si="60"/>
        <v/>
      </c>
      <c r="E1019" s="38" t="str">
        <f t="shared" si="61"/>
        <v/>
      </c>
      <c r="G1019" s="1"/>
      <c r="L1019" s="39" t="str">
        <f t="shared" si="62"/>
        <v/>
      </c>
      <c r="T1019" s="39" t="str">
        <f t="shared" si="63"/>
        <v/>
      </c>
    </row>
    <row r="1020" spans="4:20" x14ac:dyDescent="0.25">
      <c r="D1020" s="38" t="str">
        <f t="shared" si="60"/>
        <v/>
      </c>
      <c r="E1020" s="38" t="str">
        <f t="shared" si="61"/>
        <v/>
      </c>
      <c r="G1020" s="1"/>
      <c r="L1020" s="39" t="str">
        <f t="shared" si="62"/>
        <v/>
      </c>
      <c r="T1020" s="39" t="str">
        <f t="shared" si="63"/>
        <v/>
      </c>
    </row>
    <row r="1021" spans="4:20" x14ac:dyDescent="0.25">
      <c r="D1021" s="38" t="str">
        <f t="shared" si="60"/>
        <v/>
      </c>
      <c r="E1021" s="38" t="str">
        <f t="shared" si="61"/>
        <v/>
      </c>
      <c r="G1021" s="1"/>
      <c r="L1021" s="39" t="str">
        <f t="shared" si="62"/>
        <v/>
      </c>
      <c r="T1021" s="39" t="str">
        <f t="shared" si="63"/>
        <v/>
      </c>
    </row>
    <row r="1022" spans="4:20" x14ac:dyDescent="0.25">
      <c r="D1022" s="38" t="str">
        <f t="shared" si="60"/>
        <v/>
      </c>
      <c r="E1022" s="38" t="str">
        <f t="shared" si="61"/>
        <v/>
      </c>
      <c r="G1022" s="1"/>
      <c r="L1022" s="39" t="str">
        <f t="shared" si="62"/>
        <v/>
      </c>
      <c r="T1022" s="39" t="str">
        <f t="shared" si="63"/>
        <v/>
      </c>
    </row>
    <row r="1023" spans="4:20" x14ac:dyDescent="0.25">
      <c r="D1023" s="38" t="str">
        <f t="shared" si="60"/>
        <v/>
      </c>
      <c r="E1023" s="38" t="str">
        <f t="shared" si="61"/>
        <v/>
      </c>
      <c r="G1023" s="1"/>
      <c r="L1023" s="39" t="str">
        <f t="shared" si="62"/>
        <v/>
      </c>
      <c r="T1023" s="39" t="str">
        <f t="shared" si="63"/>
        <v/>
      </c>
    </row>
    <row r="1024" spans="4:20" x14ac:dyDescent="0.25">
      <c r="D1024" s="38" t="str">
        <f t="shared" si="60"/>
        <v/>
      </c>
      <c r="E1024" s="38" t="str">
        <f t="shared" si="61"/>
        <v/>
      </c>
      <c r="G1024" s="1"/>
      <c r="L1024" s="39" t="str">
        <f t="shared" si="62"/>
        <v/>
      </c>
      <c r="T1024" s="39" t="str">
        <f t="shared" si="63"/>
        <v/>
      </c>
    </row>
    <row r="1025" spans="4:20" x14ac:dyDescent="0.25">
      <c r="D1025" s="38" t="str">
        <f t="shared" si="60"/>
        <v/>
      </c>
      <c r="E1025" s="38" t="str">
        <f t="shared" si="61"/>
        <v/>
      </c>
      <c r="G1025" s="1"/>
      <c r="L1025" s="39" t="str">
        <f t="shared" si="62"/>
        <v/>
      </c>
      <c r="T1025" s="39" t="str">
        <f t="shared" si="63"/>
        <v/>
      </c>
    </row>
    <row r="1026" spans="4:20" x14ac:dyDescent="0.25">
      <c r="D1026" s="38" t="str">
        <f t="shared" ref="D1026:D1089" si="64">IF($B1026="", "", CHOOSE(MONTH($B1026), "Gennaio","Febbraio","Marzo","Aprile","Maggio","Giugno","Luglio","Agosto","Settembre","Ottobre","Novembre","Dicembre"))</f>
        <v/>
      </c>
      <c r="E1026" s="38" t="str">
        <f t="shared" ref="E1026:E1089" si="65">IF($B1026="", "", CHOOSE(WEEKDAY($B1026,2), "Lunedì","Martedì","Mercoledì","Giovedì","Venerdì","Sabato","Domenica"))</f>
        <v/>
      </c>
      <c r="G1026" s="1"/>
      <c r="L1026" s="39" t="str">
        <f t="shared" ref="L1026:L1089" si="66">IF($K1026="Target", $G1026*$H1026, IF($K1026="Stop Loss", -$G1026, IF($K1026="Breakeven", 0, "")))</f>
        <v/>
      </c>
      <c r="T1026" s="39" t="str">
        <f t="shared" si="63"/>
        <v/>
      </c>
    </row>
    <row r="1027" spans="4:20" x14ac:dyDescent="0.25">
      <c r="D1027" s="38" t="str">
        <f t="shared" si="64"/>
        <v/>
      </c>
      <c r="E1027" s="38" t="str">
        <f t="shared" si="65"/>
        <v/>
      </c>
      <c r="G1027" s="1"/>
      <c r="L1027" s="39" t="str">
        <f t="shared" si="66"/>
        <v/>
      </c>
      <c r="T1027" s="39" t="str">
        <f t="shared" ref="T1027:T1090" si="67">IF($L1027="", "", $T1026 + $L1027)</f>
        <v/>
      </c>
    </row>
    <row r="1028" spans="4:20" x14ac:dyDescent="0.25">
      <c r="D1028" s="38" t="str">
        <f t="shared" si="64"/>
        <v/>
      </c>
      <c r="E1028" s="38" t="str">
        <f t="shared" si="65"/>
        <v/>
      </c>
      <c r="G1028" s="1"/>
      <c r="L1028" s="39" t="str">
        <f t="shared" si="66"/>
        <v/>
      </c>
      <c r="T1028" s="39" t="str">
        <f t="shared" si="67"/>
        <v/>
      </c>
    </row>
    <row r="1029" spans="4:20" x14ac:dyDescent="0.25">
      <c r="D1029" s="38" t="str">
        <f t="shared" si="64"/>
        <v/>
      </c>
      <c r="E1029" s="38" t="str">
        <f t="shared" si="65"/>
        <v/>
      </c>
      <c r="G1029" s="1"/>
      <c r="L1029" s="39" t="str">
        <f t="shared" si="66"/>
        <v/>
      </c>
      <c r="T1029" s="39" t="str">
        <f t="shared" si="67"/>
        <v/>
      </c>
    </row>
    <row r="1030" spans="4:20" x14ac:dyDescent="0.25">
      <c r="D1030" s="38" t="str">
        <f t="shared" si="64"/>
        <v/>
      </c>
      <c r="E1030" s="38" t="str">
        <f t="shared" si="65"/>
        <v/>
      </c>
      <c r="G1030" s="1"/>
      <c r="L1030" s="39" t="str">
        <f t="shared" si="66"/>
        <v/>
      </c>
      <c r="T1030" s="39" t="str">
        <f t="shared" si="67"/>
        <v/>
      </c>
    </row>
    <row r="1031" spans="4:20" x14ac:dyDescent="0.25">
      <c r="D1031" s="38" t="str">
        <f t="shared" si="64"/>
        <v/>
      </c>
      <c r="E1031" s="38" t="str">
        <f t="shared" si="65"/>
        <v/>
      </c>
      <c r="G1031" s="1"/>
      <c r="L1031" s="39" t="str">
        <f t="shared" si="66"/>
        <v/>
      </c>
      <c r="T1031" s="39" t="str">
        <f t="shared" si="67"/>
        <v/>
      </c>
    </row>
    <row r="1032" spans="4:20" x14ac:dyDescent="0.25">
      <c r="D1032" s="38" t="str">
        <f t="shared" si="64"/>
        <v/>
      </c>
      <c r="E1032" s="38" t="str">
        <f t="shared" si="65"/>
        <v/>
      </c>
      <c r="G1032" s="1"/>
      <c r="L1032" s="39" t="str">
        <f t="shared" si="66"/>
        <v/>
      </c>
      <c r="T1032" s="39" t="str">
        <f t="shared" si="67"/>
        <v/>
      </c>
    </row>
    <row r="1033" spans="4:20" x14ac:dyDescent="0.25">
      <c r="D1033" s="38" t="str">
        <f t="shared" si="64"/>
        <v/>
      </c>
      <c r="E1033" s="38" t="str">
        <f t="shared" si="65"/>
        <v/>
      </c>
      <c r="G1033" s="1"/>
      <c r="L1033" s="39" t="str">
        <f t="shared" si="66"/>
        <v/>
      </c>
      <c r="T1033" s="39" t="str">
        <f t="shared" si="67"/>
        <v/>
      </c>
    </row>
    <row r="1034" spans="4:20" x14ac:dyDescent="0.25">
      <c r="D1034" s="38" t="str">
        <f t="shared" si="64"/>
        <v/>
      </c>
      <c r="E1034" s="38" t="str">
        <f t="shared" si="65"/>
        <v/>
      </c>
      <c r="G1034" s="1"/>
      <c r="L1034" s="39" t="str">
        <f t="shared" si="66"/>
        <v/>
      </c>
      <c r="T1034" s="39" t="str">
        <f t="shared" si="67"/>
        <v/>
      </c>
    </row>
    <row r="1035" spans="4:20" x14ac:dyDescent="0.25">
      <c r="D1035" s="38" t="str">
        <f t="shared" si="64"/>
        <v/>
      </c>
      <c r="E1035" s="38" t="str">
        <f t="shared" si="65"/>
        <v/>
      </c>
      <c r="G1035" s="1"/>
      <c r="L1035" s="39" t="str">
        <f t="shared" si="66"/>
        <v/>
      </c>
      <c r="T1035" s="39" t="str">
        <f t="shared" si="67"/>
        <v/>
      </c>
    </row>
    <row r="1036" spans="4:20" x14ac:dyDescent="0.25">
      <c r="D1036" s="38" t="str">
        <f t="shared" si="64"/>
        <v/>
      </c>
      <c r="E1036" s="38" t="str">
        <f t="shared" si="65"/>
        <v/>
      </c>
      <c r="G1036" s="1"/>
      <c r="L1036" s="39" t="str">
        <f t="shared" si="66"/>
        <v/>
      </c>
      <c r="T1036" s="39" t="str">
        <f t="shared" si="67"/>
        <v/>
      </c>
    </row>
    <row r="1037" spans="4:20" x14ac:dyDescent="0.25">
      <c r="D1037" s="38" t="str">
        <f t="shared" si="64"/>
        <v/>
      </c>
      <c r="E1037" s="38" t="str">
        <f t="shared" si="65"/>
        <v/>
      </c>
      <c r="G1037" s="1"/>
      <c r="L1037" s="39" t="str">
        <f t="shared" si="66"/>
        <v/>
      </c>
      <c r="T1037" s="39" t="str">
        <f t="shared" si="67"/>
        <v/>
      </c>
    </row>
    <row r="1038" spans="4:20" x14ac:dyDescent="0.25">
      <c r="D1038" s="38" t="str">
        <f t="shared" si="64"/>
        <v/>
      </c>
      <c r="E1038" s="38" t="str">
        <f t="shared" si="65"/>
        <v/>
      </c>
      <c r="G1038" s="1"/>
      <c r="L1038" s="39" t="str">
        <f t="shared" si="66"/>
        <v/>
      </c>
      <c r="T1038" s="39" t="str">
        <f t="shared" si="67"/>
        <v/>
      </c>
    </row>
    <row r="1039" spans="4:20" x14ac:dyDescent="0.25">
      <c r="D1039" s="38" t="str">
        <f t="shared" si="64"/>
        <v/>
      </c>
      <c r="E1039" s="38" t="str">
        <f t="shared" si="65"/>
        <v/>
      </c>
      <c r="G1039" s="1"/>
      <c r="L1039" s="39" t="str">
        <f t="shared" si="66"/>
        <v/>
      </c>
      <c r="T1039" s="39" t="str">
        <f t="shared" si="67"/>
        <v/>
      </c>
    </row>
    <row r="1040" spans="4:20" x14ac:dyDescent="0.25">
      <c r="D1040" s="38" t="str">
        <f t="shared" si="64"/>
        <v/>
      </c>
      <c r="E1040" s="38" t="str">
        <f t="shared" si="65"/>
        <v/>
      </c>
      <c r="G1040" s="1"/>
      <c r="L1040" s="39" t="str">
        <f t="shared" si="66"/>
        <v/>
      </c>
      <c r="T1040" s="39" t="str">
        <f t="shared" si="67"/>
        <v/>
      </c>
    </row>
    <row r="1041" spans="4:20" x14ac:dyDescent="0.25">
      <c r="D1041" s="38" t="str">
        <f t="shared" si="64"/>
        <v/>
      </c>
      <c r="E1041" s="38" t="str">
        <f t="shared" si="65"/>
        <v/>
      </c>
      <c r="G1041" s="1"/>
      <c r="L1041" s="39" t="str">
        <f t="shared" si="66"/>
        <v/>
      </c>
      <c r="T1041" s="39" t="str">
        <f t="shared" si="67"/>
        <v/>
      </c>
    </row>
    <row r="1042" spans="4:20" x14ac:dyDescent="0.25">
      <c r="D1042" s="38" t="str">
        <f t="shared" si="64"/>
        <v/>
      </c>
      <c r="E1042" s="38" t="str">
        <f t="shared" si="65"/>
        <v/>
      </c>
      <c r="G1042" s="1"/>
      <c r="L1042" s="39" t="str">
        <f t="shared" si="66"/>
        <v/>
      </c>
      <c r="T1042" s="39" t="str">
        <f t="shared" si="67"/>
        <v/>
      </c>
    </row>
    <row r="1043" spans="4:20" x14ac:dyDescent="0.25">
      <c r="D1043" s="38" t="str">
        <f t="shared" si="64"/>
        <v/>
      </c>
      <c r="E1043" s="38" t="str">
        <f t="shared" si="65"/>
        <v/>
      </c>
      <c r="G1043" s="1"/>
      <c r="L1043" s="39" t="str">
        <f t="shared" si="66"/>
        <v/>
      </c>
      <c r="T1043" s="39" t="str">
        <f t="shared" si="67"/>
        <v/>
      </c>
    </row>
    <row r="1044" spans="4:20" x14ac:dyDescent="0.25">
      <c r="D1044" s="38" t="str">
        <f t="shared" si="64"/>
        <v/>
      </c>
      <c r="E1044" s="38" t="str">
        <f t="shared" si="65"/>
        <v/>
      </c>
      <c r="G1044" s="1"/>
      <c r="L1044" s="39" t="str">
        <f t="shared" si="66"/>
        <v/>
      </c>
      <c r="T1044" s="39" t="str">
        <f t="shared" si="67"/>
        <v/>
      </c>
    </row>
    <row r="1045" spans="4:20" x14ac:dyDescent="0.25">
      <c r="D1045" s="38" t="str">
        <f t="shared" si="64"/>
        <v/>
      </c>
      <c r="E1045" s="38" t="str">
        <f t="shared" si="65"/>
        <v/>
      </c>
      <c r="G1045" s="1"/>
      <c r="L1045" s="39" t="str">
        <f t="shared" si="66"/>
        <v/>
      </c>
      <c r="T1045" s="39" t="str">
        <f t="shared" si="67"/>
        <v/>
      </c>
    </row>
    <row r="1046" spans="4:20" x14ac:dyDescent="0.25">
      <c r="D1046" s="38" t="str">
        <f t="shared" si="64"/>
        <v/>
      </c>
      <c r="E1046" s="38" t="str">
        <f t="shared" si="65"/>
        <v/>
      </c>
      <c r="G1046" s="1"/>
      <c r="L1046" s="39" t="str">
        <f t="shared" si="66"/>
        <v/>
      </c>
      <c r="T1046" s="39" t="str">
        <f t="shared" si="67"/>
        <v/>
      </c>
    </row>
    <row r="1047" spans="4:20" x14ac:dyDescent="0.25">
      <c r="D1047" s="38" t="str">
        <f t="shared" si="64"/>
        <v/>
      </c>
      <c r="E1047" s="38" t="str">
        <f t="shared" si="65"/>
        <v/>
      </c>
      <c r="G1047" s="1"/>
      <c r="L1047" s="39" t="str">
        <f t="shared" si="66"/>
        <v/>
      </c>
      <c r="T1047" s="39" t="str">
        <f t="shared" si="67"/>
        <v/>
      </c>
    </row>
    <row r="1048" spans="4:20" x14ac:dyDescent="0.25">
      <c r="D1048" s="38" t="str">
        <f t="shared" si="64"/>
        <v/>
      </c>
      <c r="E1048" s="38" t="str">
        <f t="shared" si="65"/>
        <v/>
      </c>
      <c r="G1048" s="1"/>
      <c r="L1048" s="39" t="str">
        <f t="shared" si="66"/>
        <v/>
      </c>
      <c r="T1048" s="39" t="str">
        <f t="shared" si="67"/>
        <v/>
      </c>
    </row>
    <row r="1049" spans="4:20" x14ac:dyDescent="0.25">
      <c r="D1049" s="38" t="str">
        <f t="shared" si="64"/>
        <v/>
      </c>
      <c r="E1049" s="38" t="str">
        <f t="shared" si="65"/>
        <v/>
      </c>
      <c r="G1049" s="1"/>
      <c r="L1049" s="39" t="str">
        <f t="shared" si="66"/>
        <v/>
      </c>
      <c r="T1049" s="39" t="str">
        <f t="shared" si="67"/>
        <v/>
      </c>
    </row>
    <row r="1050" spans="4:20" x14ac:dyDescent="0.25">
      <c r="D1050" s="38" t="str">
        <f t="shared" si="64"/>
        <v/>
      </c>
      <c r="E1050" s="38" t="str">
        <f t="shared" si="65"/>
        <v/>
      </c>
      <c r="G1050" s="1"/>
      <c r="L1050" s="39" t="str">
        <f t="shared" si="66"/>
        <v/>
      </c>
      <c r="T1050" s="39" t="str">
        <f t="shared" si="67"/>
        <v/>
      </c>
    </row>
    <row r="1051" spans="4:20" x14ac:dyDescent="0.25">
      <c r="D1051" s="38" t="str">
        <f t="shared" si="64"/>
        <v/>
      </c>
      <c r="E1051" s="38" t="str">
        <f t="shared" si="65"/>
        <v/>
      </c>
      <c r="G1051" s="1"/>
      <c r="L1051" s="39" t="str">
        <f t="shared" si="66"/>
        <v/>
      </c>
      <c r="T1051" s="39" t="str">
        <f t="shared" si="67"/>
        <v/>
      </c>
    </row>
    <row r="1052" spans="4:20" x14ac:dyDescent="0.25">
      <c r="D1052" s="38" t="str">
        <f t="shared" si="64"/>
        <v/>
      </c>
      <c r="E1052" s="38" t="str">
        <f t="shared" si="65"/>
        <v/>
      </c>
      <c r="G1052" s="1"/>
      <c r="L1052" s="39" t="str">
        <f t="shared" si="66"/>
        <v/>
      </c>
      <c r="T1052" s="39" t="str">
        <f t="shared" si="67"/>
        <v/>
      </c>
    </row>
    <row r="1053" spans="4:20" x14ac:dyDescent="0.25">
      <c r="D1053" s="38" t="str">
        <f t="shared" si="64"/>
        <v/>
      </c>
      <c r="E1053" s="38" t="str">
        <f t="shared" si="65"/>
        <v/>
      </c>
      <c r="G1053" s="1"/>
      <c r="L1053" s="39" t="str">
        <f t="shared" si="66"/>
        <v/>
      </c>
      <c r="T1053" s="39" t="str">
        <f t="shared" si="67"/>
        <v/>
      </c>
    </row>
    <row r="1054" spans="4:20" x14ac:dyDescent="0.25">
      <c r="D1054" s="38" t="str">
        <f t="shared" si="64"/>
        <v/>
      </c>
      <c r="E1054" s="38" t="str">
        <f t="shared" si="65"/>
        <v/>
      </c>
      <c r="G1054" s="1"/>
      <c r="L1054" s="39" t="str">
        <f t="shared" si="66"/>
        <v/>
      </c>
      <c r="T1054" s="39" t="str">
        <f t="shared" si="67"/>
        <v/>
      </c>
    </row>
    <row r="1055" spans="4:20" x14ac:dyDescent="0.25">
      <c r="D1055" s="38" t="str">
        <f t="shared" si="64"/>
        <v/>
      </c>
      <c r="E1055" s="38" t="str">
        <f t="shared" si="65"/>
        <v/>
      </c>
      <c r="G1055" s="1"/>
      <c r="L1055" s="39" t="str">
        <f t="shared" si="66"/>
        <v/>
      </c>
      <c r="T1055" s="39" t="str">
        <f t="shared" si="67"/>
        <v/>
      </c>
    </row>
    <row r="1056" spans="4:20" x14ac:dyDescent="0.25">
      <c r="D1056" s="38" t="str">
        <f t="shared" si="64"/>
        <v/>
      </c>
      <c r="E1056" s="38" t="str">
        <f t="shared" si="65"/>
        <v/>
      </c>
      <c r="G1056" s="1"/>
      <c r="L1056" s="39" t="str">
        <f t="shared" si="66"/>
        <v/>
      </c>
      <c r="T1056" s="39" t="str">
        <f t="shared" si="67"/>
        <v/>
      </c>
    </row>
    <row r="1057" spans="4:20" x14ac:dyDescent="0.25">
      <c r="D1057" s="38" t="str">
        <f t="shared" si="64"/>
        <v/>
      </c>
      <c r="E1057" s="38" t="str">
        <f t="shared" si="65"/>
        <v/>
      </c>
      <c r="G1057" s="1"/>
      <c r="L1057" s="39" t="str">
        <f t="shared" si="66"/>
        <v/>
      </c>
      <c r="T1057" s="39" t="str">
        <f t="shared" si="67"/>
        <v/>
      </c>
    </row>
    <row r="1058" spans="4:20" x14ac:dyDescent="0.25">
      <c r="D1058" s="38" t="str">
        <f t="shared" si="64"/>
        <v/>
      </c>
      <c r="E1058" s="38" t="str">
        <f t="shared" si="65"/>
        <v/>
      </c>
      <c r="G1058" s="1"/>
      <c r="L1058" s="39" t="str">
        <f t="shared" si="66"/>
        <v/>
      </c>
      <c r="T1058" s="39" t="str">
        <f t="shared" si="67"/>
        <v/>
      </c>
    </row>
    <row r="1059" spans="4:20" x14ac:dyDescent="0.25">
      <c r="D1059" s="38" t="str">
        <f t="shared" si="64"/>
        <v/>
      </c>
      <c r="E1059" s="38" t="str">
        <f t="shared" si="65"/>
        <v/>
      </c>
      <c r="G1059" s="1"/>
      <c r="L1059" s="39" t="str">
        <f t="shared" si="66"/>
        <v/>
      </c>
      <c r="T1059" s="39" t="str">
        <f t="shared" si="67"/>
        <v/>
      </c>
    </row>
    <row r="1060" spans="4:20" x14ac:dyDescent="0.25">
      <c r="D1060" s="38" t="str">
        <f t="shared" si="64"/>
        <v/>
      </c>
      <c r="E1060" s="38" t="str">
        <f t="shared" si="65"/>
        <v/>
      </c>
      <c r="G1060" s="1"/>
      <c r="L1060" s="39" t="str">
        <f t="shared" si="66"/>
        <v/>
      </c>
      <c r="T1060" s="39" t="str">
        <f t="shared" si="67"/>
        <v/>
      </c>
    </row>
    <row r="1061" spans="4:20" x14ac:dyDescent="0.25">
      <c r="D1061" s="38" t="str">
        <f t="shared" si="64"/>
        <v/>
      </c>
      <c r="E1061" s="38" t="str">
        <f t="shared" si="65"/>
        <v/>
      </c>
      <c r="G1061" s="1"/>
      <c r="L1061" s="39" t="str">
        <f t="shared" si="66"/>
        <v/>
      </c>
      <c r="T1061" s="39" t="str">
        <f t="shared" si="67"/>
        <v/>
      </c>
    </row>
    <row r="1062" spans="4:20" x14ac:dyDescent="0.25">
      <c r="D1062" s="38" t="str">
        <f t="shared" si="64"/>
        <v/>
      </c>
      <c r="E1062" s="38" t="str">
        <f t="shared" si="65"/>
        <v/>
      </c>
      <c r="G1062" s="1"/>
      <c r="L1062" s="39" t="str">
        <f t="shared" si="66"/>
        <v/>
      </c>
      <c r="T1062" s="39" t="str">
        <f t="shared" si="67"/>
        <v/>
      </c>
    </row>
    <row r="1063" spans="4:20" x14ac:dyDescent="0.25">
      <c r="D1063" s="38" t="str">
        <f t="shared" si="64"/>
        <v/>
      </c>
      <c r="E1063" s="38" t="str">
        <f t="shared" si="65"/>
        <v/>
      </c>
      <c r="G1063" s="1"/>
      <c r="L1063" s="39" t="str">
        <f t="shared" si="66"/>
        <v/>
      </c>
      <c r="T1063" s="39" t="str">
        <f t="shared" si="67"/>
        <v/>
      </c>
    </row>
    <row r="1064" spans="4:20" x14ac:dyDescent="0.25">
      <c r="D1064" s="38" t="str">
        <f t="shared" si="64"/>
        <v/>
      </c>
      <c r="E1064" s="38" t="str">
        <f t="shared" si="65"/>
        <v/>
      </c>
      <c r="G1064" s="1"/>
      <c r="L1064" s="39" t="str">
        <f t="shared" si="66"/>
        <v/>
      </c>
      <c r="T1064" s="39" t="str">
        <f t="shared" si="67"/>
        <v/>
      </c>
    </row>
    <row r="1065" spans="4:20" x14ac:dyDescent="0.25">
      <c r="D1065" s="38" t="str">
        <f t="shared" si="64"/>
        <v/>
      </c>
      <c r="E1065" s="38" t="str">
        <f t="shared" si="65"/>
        <v/>
      </c>
      <c r="G1065" s="1"/>
      <c r="L1065" s="39" t="str">
        <f t="shared" si="66"/>
        <v/>
      </c>
      <c r="T1065" s="39" t="str">
        <f t="shared" si="67"/>
        <v/>
      </c>
    </row>
    <row r="1066" spans="4:20" x14ac:dyDescent="0.25">
      <c r="D1066" s="38" t="str">
        <f t="shared" si="64"/>
        <v/>
      </c>
      <c r="E1066" s="38" t="str">
        <f t="shared" si="65"/>
        <v/>
      </c>
      <c r="G1066" s="1"/>
      <c r="L1066" s="39" t="str">
        <f t="shared" si="66"/>
        <v/>
      </c>
      <c r="T1066" s="39" t="str">
        <f t="shared" si="67"/>
        <v/>
      </c>
    </row>
    <row r="1067" spans="4:20" x14ac:dyDescent="0.25">
      <c r="D1067" s="38" t="str">
        <f t="shared" si="64"/>
        <v/>
      </c>
      <c r="E1067" s="38" t="str">
        <f t="shared" si="65"/>
        <v/>
      </c>
      <c r="G1067" s="1"/>
      <c r="L1067" s="39" t="str">
        <f t="shared" si="66"/>
        <v/>
      </c>
      <c r="T1067" s="39" t="str">
        <f t="shared" si="67"/>
        <v/>
      </c>
    </row>
    <row r="1068" spans="4:20" x14ac:dyDescent="0.25">
      <c r="D1068" s="38" t="str">
        <f t="shared" si="64"/>
        <v/>
      </c>
      <c r="E1068" s="38" t="str">
        <f t="shared" si="65"/>
        <v/>
      </c>
      <c r="G1068" s="1"/>
      <c r="L1068" s="39" t="str">
        <f t="shared" si="66"/>
        <v/>
      </c>
      <c r="T1068" s="39" t="str">
        <f t="shared" si="67"/>
        <v/>
      </c>
    </row>
    <row r="1069" spans="4:20" x14ac:dyDescent="0.25">
      <c r="D1069" s="38" t="str">
        <f t="shared" si="64"/>
        <v/>
      </c>
      <c r="E1069" s="38" t="str">
        <f t="shared" si="65"/>
        <v/>
      </c>
      <c r="G1069" s="1"/>
      <c r="L1069" s="39" t="str">
        <f t="shared" si="66"/>
        <v/>
      </c>
      <c r="T1069" s="39" t="str">
        <f t="shared" si="67"/>
        <v/>
      </c>
    </row>
    <row r="1070" spans="4:20" x14ac:dyDescent="0.25">
      <c r="D1070" s="38" t="str">
        <f t="shared" si="64"/>
        <v/>
      </c>
      <c r="E1070" s="38" t="str">
        <f t="shared" si="65"/>
        <v/>
      </c>
      <c r="G1070" s="1"/>
      <c r="L1070" s="39" t="str">
        <f t="shared" si="66"/>
        <v/>
      </c>
      <c r="T1070" s="39" t="str">
        <f t="shared" si="67"/>
        <v/>
      </c>
    </row>
    <row r="1071" spans="4:20" x14ac:dyDescent="0.25">
      <c r="D1071" s="38" t="str">
        <f t="shared" si="64"/>
        <v/>
      </c>
      <c r="E1071" s="38" t="str">
        <f t="shared" si="65"/>
        <v/>
      </c>
      <c r="G1071" s="1"/>
      <c r="L1071" s="39" t="str">
        <f t="shared" si="66"/>
        <v/>
      </c>
      <c r="T1071" s="39" t="str">
        <f t="shared" si="67"/>
        <v/>
      </c>
    </row>
    <row r="1072" spans="4:20" x14ac:dyDescent="0.25">
      <c r="D1072" s="38" t="str">
        <f t="shared" si="64"/>
        <v/>
      </c>
      <c r="E1072" s="38" t="str">
        <f t="shared" si="65"/>
        <v/>
      </c>
      <c r="G1072" s="1"/>
      <c r="L1072" s="39" t="str">
        <f t="shared" si="66"/>
        <v/>
      </c>
      <c r="T1072" s="39" t="str">
        <f t="shared" si="67"/>
        <v/>
      </c>
    </row>
    <row r="1073" spans="4:20" x14ac:dyDescent="0.25">
      <c r="D1073" s="38" t="str">
        <f t="shared" si="64"/>
        <v/>
      </c>
      <c r="E1073" s="38" t="str">
        <f t="shared" si="65"/>
        <v/>
      </c>
      <c r="G1073" s="1"/>
      <c r="L1073" s="39" t="str">
        <f t="shared" si="66"/>
        <v/>
      </c>
      <c r="T1073" s="39" t="str">
        <f t="shared" si="67"/>
        <v/>
      </c>
    </row>
    <row r="1074" spans="4:20" x14ac:dyDescent="0.25">
      <c r="D1074" s="38" t="str">
        <f t="shared" si="64"/>
        <v/>
      </c>
      <c r="E1074" s="38" t="str">
        <f t="shared" si="65"/>
        <v/>
      </c>
      <c r="G1074" s="1"/>
      <c r="L1074" s="39" t="str">
        <f t="shared" si="66"/>
        <v/>
      </c>
      <c r="T1074" s="39" t="str">
        <f t="shared" si="67"/>
        <v/>
      </c>
    </row>
    <row r="1075" spans="4:20" x14ac:dyDescent="0.25">
      <c r="D1075" s="38" t="str">
        <f t="shared" si="64"/>
        <v/>
      </c>
      <c r="E1075" s="38" t="str">
        <f t="shared" si="65"/>
        <v/>
      </c>
      <c r="G1075" s="1"/>
      <c r="L1075" s="39" t="str">
        <f t="shared" si="66"/>
        <v/>
      </c>
      <c r="T1075" s="39" t="str">
        <f t="shared" si="67"/>
        <v/>
      </c>
    </row>
    <row r="1076" spans="4:20" x14ac:dyDescent="0.25">
      <c r="D1076" s="38" t="str">
        <f t="shared" si="64"/>
        <v/>
      </c>
      <c r="E1076" s="38" t="str">
        <f t="shared" si="65"/>
        <v/>
      </c>
      <c r="G1076" s="1"/>
      <c r="L1076" s="39" t="str">
        <f t="shared" si="66"/>
        <v/>
      </c>
      <c r="T1076" s="39" t="str">
        <f t="shared" si="67"/>
        <v/>
      </c>
    </row>
    <row r="1077" spans="4:20" x14ac:dyDescent="0.25">
      <c r="D1077" s="38" t="str">
        <f t="shared" si="64"/>
        <v/>
      </c>
      <c r="E1077" s="38" t="str">
        <f t="shared" si="65"/>
        <v/>
      </c>
      <c r="G1077" s="1"/>
      <c r="L1077" s="39" t="str">
        <f t="shared" si="66"/>
        <v/>
      </c>
      <c r="T1077" s="39" t="str">
        <f t="shared" si="67"/>
        <v/>
      </c>
    </row>
    <row r="1078" spans="4:20" x14ac:dyDescent="0.25">
      <c r="D1078" s="38" t="str">
        <f t="shared" si="64"/>
        <v/>
      </c>
      <c r="E1078" s="38" t="str">
        <f t="shared" si="65"/>
        <v/>
      </c>
      <c r="G1078" s="1"/>
      <c r="L1078" s="39" t="str">
        <f t="shared" si="66"/>
        <v/>
      </c>
      <c r="T1078" s="39" t="str">
        <f t="shared" si="67"/>
        <v/>
      </c>
    </row>
    <row r="1079" spans="4:20" x14ac:dyDescent="0.25">
      <c r="D1079" s="38" t="str">
        <f t="shared" si="64"/>
        <v/>
      </c>
      <c r="E1079" s="38" t="str">
        <f t="shared" si="65"/>
        <v/>
      </c>
      <c r="G1079" s="1"/>
      <c r="L1079" s="39" t="str">
        <f t="shared" si="66"/>
        <v/>
      </c>
      <c r="T1079" s="39" t="str">
        <f t="shared" si="67"/>
        <v/>
      </c>
    </row>
    <row r="1080" spans="4:20" x14ac:dyDescent="0.25">
      <c r="D1080" s="38" t="str">
        <f t="shared" si="64"/>
        <v/>
      </c>
      <c r="E1080" s="38" t="str">
        <f t="shared" si="65"/>
        <v/>
      </c>
      <c r="G1080" s="1"/>
      <c r="L1080" s="39" t="str">
        <f t="shared" si="66"/>
        <v/>
      </c>
      <c r="T1080" s="39" t="str">
        <f t="shared" si="67"/>
        <v/>
      </c>
    </row>
    <row r="1081" spans="4:20" x14ac:dyDescent="0.25">
      <c r="D1081" s="38" t="str">
        <f t="shared" si="64"/>
        <v/>
      </c>
      <c r="E1081" s="38" t="str">
        <f t="shared" si="65"/>
        <v/>
      </c>
      <c r="G1081" s="1"/>
      <c r="L1081" s="39" t="str">
        <f t="shared" si="66"/>
        <v/>
      </c>
      <c r="T1081" s="39" t="str">
        <f t="shared" si="67"/>
        <v/>
      </c>
    </row>
    <row r="1082" spans="4:20" x14ac:dyDescent="0.25">
      <c r="D1082" s="38" t="str">
        <f t="shared" si="64"/>
        <v/>
      </c>
      <c r="E1082" s="38" t="str">
        <f t="shared" si="65"/>
        <v/>
      </c>
      <c r="G1082" s="1"/>
      <c r="L1082" s="39" t="str">
        <f t="shared" si="66"/>
        <v/>
      </c>
      <c r="T1082" s="39" t="str">
        <f t="shared" si="67"/>
        <v/>
      </c>
    </row>
    <row r="1083" spans="4:20" x14ac:dyDescent="0.25">
      <c r="D1083" s="38" t="str">
        <f t="shared" si="64"/>
        <v/>
      </c>
      <c r="E1083" s="38" t="str">
        <f t="shared" si="65"/>
        <v/>
      </c>
      <c r="G1083" s="1"/>
      <c r="L1083" s="39" t="str">
        <f t="shared" si="66"/>
        <v/>
      </c>
      <c r="T1083" s="39" t="str">
        <f t="shared" si="67"/>
        <v/>
      </c>
    </row>
    <row r="1084" spans="4:20" x14ac:dyDescent="0.25">
      <c r="D1084" s="38" t="str">
        <f t="shared" si="64"/>
        <v/>
      </c>
      <c r="E1084" s="38" t="str">
        <f t="shared" si="65"/>
        <v/>
      </c>
      <c r="G1084" s="1"/>
      <c r="L1084" s="39" t="str">
        <f t="shared" si="66"/>
        <v/>
      </c>
      <c r="T1084" s="39" t="str">
        <f t="shared" si="67"/>
        <v/>
      </c>
    </row>
    <row r="1085" spans="4:20" x14ac:dyDescent="0.25">
      <c r="D1085" s="38" t="str">
        <f t="shared" si="64"/>
        <v/>
      </c>
      <c r="E1085" s="38" t="str">
        <f t="shared" si="65"/>
        <v/>
      </c>
      <c r="G1085" s="1"/>
      <c r="L1085" s="39" t="str">
        <f t="shared" si="66"/>
        <v/>
      </c>
      <c r="T1085" s="39" t="str">
        <f t="shared" si="67"/>
        <v/>
      </c>
    </row>
    <row r="1086" spans="4:20" x14ac:dyDescent="0.25">
      <c r="D1086" s="38" t="str">
        <f t="shared" si="64"/>
        <v/>
      </c>
      <c r="E1086" s="38" t="str">
        <f t="shared" si="65"/>
        <v/>
      </c>
      <c r="G1086" s="1"/>
      <c r="L1086" s="39" t="str">
        <f t="shared" si="66"/>
        <v/>
      </c>
      <c r="T1086" s="39" t="str">
        <f t="shared" si="67"/>
        <v/>
      </c>
    </row>
    <row r="1087" spans="4:20" x14ac:dyDescent="0.25">
      <c r="D1087" s="38" t="str">
        <f t="shared" si="64"/>
        <v/>
      </c>
      <c r="E1087" s="38" t="str">
        <f t="shared" si="65"/>
        <v/>
      </c>
      <c r="G1087" s="1"/>
      <c r="L1087" s="39" t="str">
        <f t="shared" si="66"/>
        <v/>
      </c>
      <c r="T1087" s="39" t="str">
        <f t="shared" si="67"/>
        <v/>
      </c>
    </row>
    <row r="1088" spans="4:20" x14ac:dyDescent="0.25">
      <c r="D1088" s="38" t="str">
        <f t="shared" si="64"/>
        <v/>
      </c>
      <c r="E1088" s="38" t="str">
        <f t="shared" si="65"/>
        <v/>
      </c>
      <c r="G1088" s="1"/>
      <c r="L1088" s="39" t="str">
        <f t="shared" si="66"/>
        <v/>
      </c>
      <c r="T1088" s="39" t="str">
        <f t="shared" si="67"/>
        <v/>
      </c>
    </row>
    <row r="1089" spans="4:20" x14ac:dyDescent="0.25">
      <c r="D1089" s="38" t="str">
        <f t="shared" si="64"/>
        <v/>
      </c>
      <c r="E1089" s="38" t="str">
        <f t="shared" si="65"/>
        <v/>
      </c>
      <c r="G1089" s="1"/>
      <c r="L1089" s="39" t="str">
        <f t="shared" si="66"/>
        <v/>
      </c>
      <c r="T1089" s="39" t="str">
        <f t="shared" si="67"/>
        <v/>
      </c>
    </row>
    <row r="1090" spans="4:20" x14ac:dyDescent="0.25">
      <c r="D1090" s="38" t="str">
        <f t="shared" ref="D1090:D1153" si="68">IF($B1090="", "", CHOOSE(MONTH($B1090), "Gennaio","Febbraio","Marzo","Aprile","Maggio","Giugno","Luglio","Agosto","Settembre","Ottobre","Novembre","Dicembre"))</f>
        <v/>
      </c>
      <c r="E1090" s="38" t="str">
        <f t="shared" ref="E1090:E1153" si="69">IF($B1090="", "", CHOOSE(WEEKDAY($B1090,2), "Lunedì","Martedì","Mercoledì","Giovedì","Venerdì","Sabato","Domenica"))</f>
        <v/>
      </c>
      <c r="G1090" s="1"/>
      <c r="L1090" s="39" t="str">
        <f t="shared" ref="L1090:L1153" si="70">IF($K1090="Target", $G1090*$H1090, IF($K1090="Stop Loss", -$G1090, IF($K1090="Breakeven", 0, "")))</f>
        <v/>
      </c>
      <c r="T1090" s="39" t="str">
        <f t="shared" si="67"/>
        <v/>
      </c>
    </row>
    <row r="1091" spans="4:20" x14ac:dyDescent="0.25">
      <c r="D1091" s="38" t="str">
        <f t="shared" si="68"/>
        <v/>
      </c>
      <c r="E1091" s="38" t="str">
        <f t="shared" si="69"/>
        <v/>
      </c>
      <c r="G1091" s="1"/>
      <c r="L1091" s="39" t="str">
        <f t="shared" si="70"/>
        <v/>
      </c>
      <c r="T1091" s="39" t="str">
        <f t="shared" ref="T1091:T1154" si="71">IF($L1091="", "", $T1090 + $L1091)</f>
        <v/>
      </c>
    </row>
    <row r="1092" spans="4:20" x14ac:dyDescent="0.25">
      <c r="D1092" s="38" t="str">
        <f t="shared" si="68"/>
        <v/>
      </c>
      <c r="E1092" s="38" t="str">
        <f t="shared" si="69"/>
        <v/>
      </c>
      <c r="G1092" s="1"/>
      <c r="L1092" s="39" t="str">
        <f t="shared" si="70"/>
        <v/>
      </c>
      <c r="T1092" s="39" t="str">
        <f t="shared" si="71"/>
        <v/>
      </c>
    </row>
    <row r="1093" spans="4:20" x14ac:dyDescent="0.25">
      <c r="D1093" s="38" t="str">
        <f t="shared" si="68"/>
        <v/>
      </c>
      <c r="E1093" s="38" t="str">
        <f t="shared" si="69"/>
        <v/>
      </c>
      <c r="G1093" s="1"/>
      <c r="L1093" s="39" t="str">
        <f t="shared" si="70"/>
        <v/>
      </c>
      <c r="T1093" s="39" t="str">
        <f t="shared" si="71"/>
        <v/>
      </c>
    </row>
    <row r="1094" spans="4:20" x14ac:dyDescent="0.25">
      <c r="D1094" s="38" t="str">
        <f t="shared" si="68"/>
        <v/>
      </c>
      <c r="E1094" s="38" t="str">
        <f t="shared" si="69"/>
        <v/>
      </c>
      <c r="G1094" s="1"/>
      <c r="L1094" s="39" t="str">
        <f t="shared" si="70"/>
        <v/>
      </c>
      <c r="T1094" s="39" t="str">
        <f t="shared" si="71"/>
        <v/>
      </c>
    </row>
    <row r="1095" spans="4:20" x14ac:dyDescent="0.25">
      <c r="D1095" s="38" t="str">
        <f t="shared" si="68"/>
        <v/>
      </c>
      <c r="E1095" s="38" t="str">
        <f t="shared" si="69"/>
        <v/>
      </c>
      <c r="G1095" s="1"/>
      <c r="L1095" s="39" t="str">
        <f t="shared" si="70"/>
        <v/>
      </c>
      <c r="T1095" s="39" t="str">
        <f t="shared" si="71"/>
        <v/>
      </c>
    </row>
    <row r="1096" spans="4:20" x14ac:dyDescent="0.25">
      <c r="D1096" s="38" t="str">
        <f t="shared" si="68"/>
        <v/>
      </c>
      <c r="E1096" s="38" t="str">
        <f t="shared" si="69"/>
        <v/>
      </c>
      <c r="G1096" s="1"/>
      <c r="L1096" s="39" t="str">
        <f t="shared" si="70"/>
        <v/>
      </c>
      <c r="T1096" s="39" t="str">
        <f t="shared" si="71"/>
        <v/>
      </c>
    </row>
    <row r="1097" spans="4:20" x14ac:dyDescent="0.25">
      <c r="D1097" s="38" t="str">
        <f t="shared" si="68"/>
        <v/>
      </c>
      <c r="E1097" s="38" t="str">
        <f t="shared" si="69"/>
        <v/>
      </c>
      <c r="G1097" s="1"/>
      <c r="L1097" s="39" t="str">
        <f t="shared" si="70"/>
        <v/>
      </c>
      <c r="T1097" s="39" t="str">
        <f t="shared" si="71"/>
        <v/>
      </c>
    </row>
    <row r="1098" spans="4:20" x14ac:dyDescent="0.25">
      <c r="D1098" s="38" t="str">
        <f t="shared" si="68"/>
        <v/>
      </c>
      <c r="E1098" s="38" t="str">
        <f t="shared" si="69"/>
        <v/>
      </c>
      <c r="G1098" s="1"/>
      <c r="L1098" s="39" t="str">
        <f t="shared" si="70"/>
        <v/>
      </c>
      <c r="T1098" s="39" t="str">
        <f t="shared" si="71"/>
        <v/>
      </c>
    </row>
    <row r="1099" spans="4:20" x14ac:dyDescent="0.25">
      <c r="D1099" s="38" t="str">
        <f t="shared" si="68"/>
        <v/>
      </c>
      <c r="E1099" s="38" t="str">
        <f t="shared" si="69"/>
        <v/>
      </c>
      <c r="G1099" s="1"/>
      <c r="L1099" s="39" t="str">
        <f t="shared" si="70"/>
        <v/>
      </c>
      <c r="T1099" s="39" t="str">
        <f t="shared" si="71"/>
        <v/>
      </c>
    </row>
    <row r="1100" spans="4:20" x14ac:dyDescent="0.25">
      <c r="D1100" s="38" t="str">
        <f t="shared" si="68"/>
        <v/>
      </c>
      <c r="E1100" s="38" t="str">
        <f t="shared" si="69"/>
        <v/>
      </c>
      <c r="G1100" s="1"/>
      <c r="L1100" s="39" t="str">
        <f t="shared" si="70"/>
        <v/>
      </c>
      <c r="T1100" s="39" t="str">
        <f t="shared" si="71"/>
        <v/>
      </c>
    </row>
    <row r="1101" spans="4:20" x14ac:dyDescent="0.25">
      <c r="D1101" s="38" t="str">
        <f t="shared" si="68"/>
        <v/>
      </c>
      <c r="E1101" s="38" t="str">
        <f t="shared" si="69"/>
        <v/>
      </c>
      <c r="G1101" s="1"/>
      <c r="L1101" s="39" t="str">
        <f t="shared" si="70"/>
        <v/>
      </c>
      <c r="T1101" s="39" t="str">
        <f t="shared" si="71"/>
        <v/>
      </c>
    </row>
    <row r="1102" spans="4:20" x14ac:dyDescent="0.25">
      <c r="D1102" s="38" t="str">
        <f t="shared" si="68"/>
        <v/>
      </c>
      <c r="E1102" s="38" t="str">
        <f t="shared" si="69"/>
        <v/>
      </c>
      <c r="G1102" s="1"/>
      <c r="L1102" s="39" t="str">
        <f t="shared" si="70"/>
        <v/>
      </c>
      <c r="T1102" s="39" t="str">
        <f t="shared" si="71"/>
        <v/>
      </c>
    </row>
    <row r="1103" spans="4:20" x14ac:dyDescent="0.25">
      <c r="D1103" s="38" t="str">
        <f t="shared" si="68"/>
        <v/>
      </c>
      <c r="E1103" s="38" t="str">
        <f t="shared" si="69"/>
        <v/>
      </c>
      <c r="G1103" s="1"/>
      <c r="L1103" s="39" t="str">
        <f t="shared" si="70"/>
        <v/>
      </c>
      <c r="T1103" s="39" t="str">
        <f t="shared" si="71"/>
        <v/>
      </c>
    </row>
    <row r="1104" spans="4:20" x14ac:dyDescent="0.25">
      <c r="D1104" s="38" t="str">
        <f t="shared" si="68"/>
        <v/>
      </c>
      <c r="E1104" s="38" t="str">
        <f t="shared" si="69"/>
        <v/>
      </c>
      <c r="G1104" s="1"/>
      <c r="L1104" s="39" t="str">
        <f t="shared" si="70"/>
        <v/>
      </c>
      <c r="T1104" s="39" t="str">
        <f t="shared" si="71"/>
        <v/>
      </c>
    </row>
    <row r="1105" spans="4:20" x14ac:dyDescent="0.25">
      <c r="D1105" s="38" t="str">
        <f t="shared" si="68"/>
        <v/>
      </c>
      <c r="E1105" s="38" t="str">
        <f t="shared" si="69"/>
        <v/>
      </c>
      <c r="G1105" s="1"/>
      <c r="L1105" s="39" t="str">
        <f t="shared" si="70"/>
        <v/>
      </c>
      <c r="T1105" s="39" t="str">
        <f t="shared" si="71"/>
        <v/>
      </c>
    </row>
    <row r="1106" spans="4:20" x14ac:dyDescent="0.25">
      <c r="D1106" s="38" t="str">
        <f t="shared" si="68"/>
        <v/>
      </c>
      <c r="E1106" s="38" t="str">
        <f t="shared" si="69"/>
        <v/>
      </c>
      <c r="G1106" s="1"/>
      <c r="L1106" s="39" t="str">
        <f t="shared" si="70"/>
        <v/>
      </c>
      <c r="T1106" s="39" t="str">
        <f t="shared" si="71"/>
        <v/>
      </c>
    </row>
    <row r="1107" spans="4:20" x14ac:dyDescent="0.25">
      <c r="D1107" s="38" t="str">
        <f t="shared" si="68"/>
        <v/>
      </c>
      <c r="E1107" s="38" t="str">
        <f t="shared" si="69"/>
        <v/>
      </c>
      <c r="G1107" s="1"/>
      <c r="L1107" s="39" t="str">
        <f t="shared" si="70"/>
        <v/>
      </c>
      <c r="T1107" s="39" t="str">
        <f t="shared" si="71"/>
        <v/>
      </c>
    </row>
    <row r="1108" spans="4:20" x14ac:dyDescent="0.25">
      <c r="D1108" s="38" t="str">
        <f t="shared" si="68"/>
        <v/>
      </c>
      <c r="E1108" s="38" t="str">
        <f t="shared" si="69"/>
        <v/>
      </c>
      <c r="G1108" s="1"/>
      <c r="L1108" s="39" t="str">
        <f t="shared" si="70"/>
        <v/>
      </c>
      <c r="T1108" s="39" t="str">
        <f t="shared" si="71"/>
        <v/>
      </c>
    </row>
    <row r="1109" spans="4:20" x14ac:dyDescent="0.25">
      <c r="D1109" s="38" t="str">
        <f t="shared" si="68"/>
        <v/>
      </c>
      <c r="E1109" s="38" t="str">
        <f t="shared" si="69"/>
        <v/>
      </c>
      <c r="G1109" s="1"/>
      <c r="L1109" s="39" t="str">
        <f t="shared" si="70"/>
        <v/>
      </c>
      <c r="T1109" s="39" t="str">
        <f t="shared" si="71"/>
        <v/>
      </c>
    </row>
    <row r="1110" spans="4:20" x14ac:dyDescent="0.25">
      <c r="D1110" s="38" t="str">
        <f t="shared" si="68"/>
        <v/>
      </c>
      <c r="E1110" s="38" t="str">
        <f t="shared" si="69"/>
        <v/>
      </c>
      <c r="G1110" s="1"/>
      <c r="L1110" s="39" t="str">
        <f t="shared" si="70"/>
        <v/>
      </c>
      <c r="T1110" s="39" t="str">
        <f t="shared" si="71"/>
        <v/>
      </c>
    </row>
    <row r="1111" spans="4:20" x14ac:dyDescent="0.25">
      <c r="D1111" s="38" t="str">
        <f t="shared" si="68"/>
        <v/>
      </c>
      <c r="E1111" s="38" t="str">
        <f t="shared" si="69"/>
        <v/>
      </c>
      <c r="G1111" s="1"/>
      <c r="L1111" s="39" t="str">
        <f t="shared" si="70"/>
        <v/>
      </c>
      <c r="T1111" s="39" t="str">
        <f t="shared" si="71"/>
        <v/>
      </c>
    </row>
    <row r="1112" spans="4:20" x14ac:dyDescent="0.25">
      <c r="D1112" s="38" t="str">
        <f t="shared" si="68"/>
        <v/>
      </c>
      <c r="E1112" s="38" t="str">
        <f t="shared" si="69"/>
        <v/>
      </c>
      <c r="G1112" s="1"/>
      <c r="L1112" s="39" t="str">
        <f t="shared" si="70"/>
        <v/>
      </c>
      <c r="T1112" s="39" t="str">
        <f t="shared" si="71"/>
        <v/>
      </c>
    </row>
    <row r="1113" spans="4:20" x14ac:dyDescent="0.25">
      <c r="D1113" s="38" t="str">
        <f t="shared" si="68"/>
        <v/>
      </c>
      <c r="E1113" s="38" t="str">
        <f t="shared" si="69"/>
        <v/>
      </c>
      <c r="G1113" s="1"/>
      <c r="L1113" s="39" t="str">
        <f t="shared" si="70"/>
        <v/>
      </c>
      <c r="T1113" s="39" t="str">
        <f t="shared" si="71"/>
        <v/>
      </c>
    </row>
    <row r="1114" spans="4:20" x14ac:dyDescent="0.25">
      <c r="D1114" s="38" t="str">
        <f t="shared" si="68"/>
        <v/>
      </c>
      <c r="E1114" s="38" t="str">
        <f t="shared" si="69"/>
        <v/>
      </c>
      <c r="G1114" s="1"/>
      <c r="L1114" s="39" t="str">
        <f t="shared" si="70"/>
        <v/>
      </c>
      <c r="T1114" s="39" t="str">
        <f t="shared" si="71"/>
        <v/>
      </c>
    </row>
    <row r="1115" spans="4:20" x14ac:dyDescent="0.25">
      <c r="D1115" s="38" t="str">
        <f t="shared" si="68"/>
        <v/>
      </c>
      <c r="E1115" s="38" t="str">
        <f t="shared" si="69"/>
        <v/>
      </c>
      <c r="G1115" s="1"/>
      <c r="L1115" s="39" t="str">
        <f t="shared" si="70"/>
        <v/>
      </c>
      <c r="T1115" s="39" t="str">
        <f t="shared" si="71"/>
        <v/>
      </c>
    </row>
    <row r="1116" spans="4:20" x14ac:dyDescent="0.25">
      <c r="D1116" s="38" t="str">
        <f t="shared" si="68"/>
        <v/>
      </c>
      <c r="E1116" s="38" t="str">
        <f t="shared" si="69"/>
        <v/>
      </c>
      <c r="G1116" s="1"/>
      <c r="L1116" s="39" t="str">
        <f t="shared" si="70"/>
        <v/>
      </c>
      <c r="T1116" s="39" t="str">
        <f t="shared" si="71"/>
        <v/>
      </c>
    </row>
    <row r="1117" spans="4:20" x14ac:dyDescent="0.25">
      <c r="D1117" s="38" t="str">
        <f t="shared" si="68"/>
        <v/>
      </c>
      <c r="E1117" s="38" t="str">
        <f t="shared" si="69"/>
        <v/>
      </c>
      <c r="G1117" s="1"/>
      <c r="L1117" s="39" t="str">
        <f t="shared" si="70"/>
        <v/>
      </c>
      <c r="T1117" s="39" t="str">
        <f t="shared" si="71"/>
        <v/>
      </c>
    </row>
    <row r="1118" spans="4:20" x14ac:dyDescent="0.25">
      <c r="D1118" s="38" t="str">
        <f t="shared" si="68"/>
        <v/>
      </c>
      <c r="E1118" s="38" t="str">
        <f t="shared" si="69"/>
        <v/>
      </c>
      <c r="G1118" s="1"/>
      <c r="L1118" s="39" t="str">
        <f t="shared" si="70"/>
        <v/>
      </c>
      <c r="T1118" s="39" t="str">
        <f t="shared" si="71"/>
        <v/>
      </c>
    </row>
    <row r="1119" spans="4:20" x14ac:dyDescent="0.25">
      <c r="D1119" s="38" t="str">
        <f t="shared" si="68"/>
        <v/>
      </c>
      <c r="E1119" s="38" t="str">
        <f t="shared" si="69"/>
        <v/>
      </c>
      <c r="G1119" s="1"/>
      <c r="L1119" s="39" t="str">
        <f t="shared" si="70"/>
        <v/>
      </c>
      <c r="T1119" s="39" t="str">
        <f t="shared" si="71"/>
        <v/>
      </c>
    </row>
    <row r="1120" spans="4:20" x14ac:dyDescent="0.25">
      <c r="D1120" s="38" t="str">
        <f t="shared" si="68"/>
        <v/>
      </c>
      <c r="E1120" s="38" t="str">
        <f t="shared" si="69"/>
        <v/>
      </c>
      <c r="G1120" s="1"/>
      <c r="L1120" s="39" t="str">
        <f t="shared" si="70"/>
        <v/>
      </c>
      <c r="T1120" s="39" t="str">
        <f t="shared" si="71"/>
        <v/>
      </c>
    </row>
    <row r="1121" spans="4:20" x14ac:dyDescent="0.25">
      <c r="D1121" s="38" t="str">
        <f t="shared" si="68"/>
        <v/>
      </c>
      <c r="E1121" s="38" t="str">
        <f t="shared" si="69"/>
        <v/>
      </c>
      <c r="G1121" s="1"/>
      <c r="L1121" s="39" t="str">
        <f t="shared" si="70"/>
        <v/>
      </c>
      <c r="T1121" s="39" t="str">
        <f t="shared" si="71"/>
        <v/>
      </c>
    </row>
    <row r="1122" spans="4:20" x14ac:dyDescent="0.25">
      <c r="D1122" s="38" t="str">
        <f t="shared" si="68"/>
        <v/>
      </c>
      <c r="E1122" s="38" t="str">
        <f t="shared" si="69"/>
        <v/>
      </c>
      <c r="G1122" s="1"/>
      <c r="L1122" s="39" t="str">
        <f t="shared" si="70"/>
        <v/>
      </c>
      <c r="T1122" s="39" t="str">
        <f t="shared" si="71"/>
        <v/>
      </c>
    </row>
    <row r="1123" spans="4:20" x14ac:dyDescent="0.25">
      <c r="D1123" s="38" t="str">
        <f t="shared" si="68"/>
        <v/>
      </c>
      <c r="E1123" s="38" t="str">
        <f t="shared" si="69"/>
        <v/>
      </c>
      <c r="G1123" s="1"/>
      <c r="L1123" s="39" t="str">
        <f t="shared" si="70"/>
        <v/>
      </c>
      <c r="T1123" s="39" t="str">
        <f t="shared" si="71"/>
        <v/>
      </c>
    </row>
    <row r="1124" spans="4:20" x14ac:dyDescent="0.25">
      <c r="D1124" s="38" t="str">
        <f t="shared" si="68"/>
        <v/>
      </c>
      <c r="E1124" s="38" t="str">
        <f t="shared" si="69"/>
        <v/>
      </c>
      <c r="G1124" s="1"/>
      <c r="L1124" s="39" t="str">
        <f t="shared" si="70"/>
        <v/>
      </c>
      <c r="T1124" s="39" t="str">
        <f t="shared" si="71"/>
        <v/>
      </c>
    </row>
    <row r="1125" spans="4:20" x14ac:dyDescent="0.25">
      <c r="D1125" s="38" t="str">
        <f t="shared" si="68"/>
        <v/>
      </c>
      <c r="E1125" s="38" t="str">
        <f t="shared" si="69"/>
        <v/>
      </c>
      <c r="G1125" s="1"/>
      <c r="L1125" s="39" t="str">
        <f t="shared" si="70"/>
        <v/>
      </c>
      <c r="T1125" s="39" t="str">
        <f t="shared" si="71"/>
        <v/>
      </c>
    </row>
    <row r="1126" spans="4:20" x14ac:dyDescent="0.25">
      <c r="D1126" s="38" t="str">
        <f t="shared" si="68"/>
        <v/>
      </c>
      <c r="E1126" s="38" t="str">
        <f t="shared" si="69"/>
        <v/>
      </c>
      <c r="G1126" s="1"/>
      <c r="L1126" s="39" t="str">
        <f t="shared" si="70"/>
        <v/>
      </c>
      <c r="T1126" s="39" t="str">
        <f t="shared" si="71"/>
        <v/>
      </c>
    </row>
    <row r="1127" spans="4:20" x14ac:dyDescent="0.25">
      <c r="D1127" s="38" t="str">
        <f t="shared" si="68"/>
        <v/>
      </c>
      <c r="E1127" s="38" t="str">
        <f t="shared" si="69"/>
        <v/>
      </c>
      <c r="G1127" s="1"/>
      <c r="L1127" s="39" t="str">
        <f t="shared" si="70"/>
        <v/>
      </c>
      <c r="T1127" s="39" t="str">
        <f t="shared" si="71"/>
        <v/>
      </c>
    </row>
    <row r="1128" spans="4:20" x14ac:dyDescent="0.25">
      <c r="D1128" s="38" t="str">
        <f t="shared" si="68"/>
        <v/>
      </c>
      <c r="E1128" s="38" t="str">
        <f t="shared" si="69"/>
        <v/>
      </c>
      <c r="G1128" s="1"/>
      <c r="L1128" s="39" t="str">
        <f t="shared" si="70"/>
        <v/>
      </c>
      <c r="T1128" s="39" t="str">
        <f t="shared" si="71"/>
        <v/>
      </c>
    </row>
    <row r="1129" spans="4:20" x14ac:dyDescent="0.25">
      <c r="D1129" s="38" t="str">
        <f t="shared" si="68"/>
        <v/>
      </c>
      <c r="E1129" s="38" t="str">
        <f t="shared" si="69"/>
        <v/>
      </c>
      <c r="G1129" s="1"/>
      <c r="L1129" s="39" t="str">
        <f t="shared" si="70"/>
        <v/>
      </c>
      <c r="T1129" s="39" t="str">
        <f t="shared" si="71"/>
        <v/>
      </c>
    </row>
    <row r="1130" spans="4:20" x14ac:dyDescent="0.25">
      <c r="D1130" s="38" t="str">
        <f t="shared" si="68"/>
        <v/>
      </c>
      <c r="E1130" s="38" t="str">
        <f t="shared" si="69"/>
        <v/>
      </c>
      <c r="G1130" s="1"/>
      <c r="L1130" s="39" t="str">
        <f t="shared" si="70"/>
        <v/>
      </c>
      <c r="T1130" s="39" t="str">
        <f t="shared" si="71"/>
        <v/>
      </c>
    </row>
    <row r="1131" spans="4:20" x14ac:dyDescent="0.25">
      <c r="D1131" s="38" t="str">
        <f t="shared" si="68"/>
        <v/>
      </c>
      <c r="E1131" s="38" t="str">
        <f t="shared" si="69"/>
        <v/>
      </c>
      <c r="G1131" s="1"/>
      <c r="L1131" s="39" t="str">
        <f t="shared" si="70"/>
        <v/>
      </c>
      <c r="T1131" s="39" t="str">
        <f t="shared" si="71"/>
        <v/>
      </c>
    </row>
    <row r="1132" spans="4:20" x14ac:dyDescent="0.25">
      <c r="D1132" s="38" t="str">
        <f t="shared" si="68"/>
        <v/>
      </c>
      <c r="E1132" s="38" t="str">
        <f t="shared" si="69"/>
        <v/>
      </c>
      <c r="G1132" s="1"/>
      <c r="L1132" s="39" t="str">
        <f t="shared" si="70"/>
        <v/>
      </c>
      <c r="T1132" s="39" t="str">
        <f t="shared" si="71"/>
        <v/>
      </c>
    </row>
    <row r="1133" spans="4:20" x14ac:dyDescent="0.25">
      <c r="D1133" s="38" t="str">
        <f t="shared" si="68"/>
        <v/>
      </c>
      <c r="E1133" s="38" t="str">
        <f t="shared" si="69"/>
        <v/>
      </c>
      <c r="G1133" s="1"/>
      <c r="L1133" s="39" t="str">
        <f t="shared" si="70"/>
        <v/>
      </c>
      <c r="T1133" s="39" t="str">
        <f t="shared" si="71"/>
        <v/>
      </c>
    </row>
    <row r="1134" spans="4:20" x14ac:dyDescent="0.25">
      <c r="D1134" s="38" t="str">
        <f t="shared" si="68"/>
        <v/>
      </c>
      <c r="E1134" s="38" t="str">
        <f t="shared" si="69"/>
        <v/>
      </c>
      <c r="G1134" s="1"/>
      <c r="L1134" s="39" t="str">
        <f t="shared" si="70"/>
        <v/>
      </c>
      <c r="T1134" s="39" t="str">
        <f t="shared" si="71"/>
        <v/>
      </c>
    </row>
    <row r="1135" spans="4:20" x14ac:dyDescent="0.25">
      <c r="D1135" s="38" t="str">
        <f t="shared" si="68"/>
        <v/>
      </c>
      <c r="E1135" s="38" t="str">
        <f t="shared" si="69"/>
        <v/>
      </c>
      <c r="G1135" s="1"/>
      <c r="L1135" s="39" t="str">
        <f t="shared" si="70"/>
        <v/>
      </c>
      <c r="T1135" s="39" t="str">
        <f t="shared" si="71"/>
        <v/>
      </c>
    </row>
    <row r="1136" spans="4:20" x14ac:dyDescent="0.25">
      <c r="D1136" s="38" t="str">
        <f t="shared" si="68"/>
        <v/>
      </c>
      <c r="E1136" s="38" t="str">
        <f t="shared" si="69"/>
        <v/>
      </c>
      <c r="G1136" s="1"/>
      <c r="L1136" s="39" t="str">
        <f t="shared" si="70"/>
        <v/>
      </c>
      <c r="T1136" s="39" t="str">
        <f t="shared" si="71"/>
        <v/>
      </c>
    </row>
    <row r="1137" spans="4:20" x14ac:dyDescent="0.25">
      <c r="D1137" s="38" t="str">
        <f t="shared" si="68"/>
        <v/>
      </c>
      <c r="E1137" s="38" t="str">
        <f t="shared" si="69"/>
        <v/>
      </c>
      <c r="G1137" s="1"/>
      <c r="L1137" s="39" t="str">
        <f t="shared" si="70"/>
        <v/>
      </c>
      <c r="T1137" s="39" t="str">
        <f t="shared" si="71"/>
        <v/>
      </c>
    </row>
    <row r="1138" spans="4:20" x14ac:dyDescent="0.25">
      <c r="D1138" s="38" t="str">
        <f t="shared" si="68"/>
        <v/>
      </c>
      <c r="E1138" s="38" t="str">
        <f t="shared" si="69"/>
        <v/>
      </c>
      <c r="G1138" s="1"/>
      <c r="L1138" s="39" t="str">
        <f t="shared" si="70"/>
        <v/>
      </c>
      <c r="T1138" s="39" t="str">
        <f t="shared" si="71"/>
        <v/>
      </c>
    </row>
    <row r="1139" spans="4:20" x14ac:dyDescent="0.25">
      <c r="D1139" s="38" t="str">
        <f t="shared" si="68"/>
        <v/>
      </c>
      <c r="E1139" s="38" t="str">
        <f t="shared" si="69"/>
        <v/>
      </c>
      <c r="G1139" s="1"/>
      <c r="L1139" s="39" t="str">
        <f t="shared" si="70"/>
        <v/>
      </c>
      <c r="T1139" s="39" t="str">
        <f t="shared" si="71"/>
        <v/>
      </c>
    </row>
    <row r="1140" spans="4:20" x14ac:dyDescent="0.25">
      <c r="D1140" s="38" t="str">
        <f t="shared" si="68"/>
        <v/>
      </c>
      <c r="E1140" s="38" t="str">
        <f t="shared" si="69"/>
        <v/>
      </c>
      <c r="G1140" s="1"/>
      <c r="L1140" s="39" t="str">
        <f t="shared" si="70"/>
        <v/>
      </c>
      <c r="T1140" s="39" t="str">
        <f t="shared" si="71"/>
        <v/>
      </c>
    </row>
    <row r="1141" spans="4:20" x14ac:dyDescent="0.25">
      <c r="D1141" s="38" t="str">
        <f t="shared" si="68"/>
        <v/>
      </c>
      <c r="E1141" s="38" t="str">
        <f t="shared" si="69"/>
        <v/>
      </c>
      <c r="G1141" s="1"/>
      <c r="L1141" s="39" t="str">
        <f t="shared" si="70"/>
        <v/>
      </c>
      <c r="T1141" s="39" t="str">
        <f t="shared" si="71"/>
        <v/>
      </c>
    </row>
    <row r="1142" spans="4:20" x14ac:dyDescent="0.25">
      <c r="D1142" s="38" t="str">
        <f t="shared" si="68"/>
        <v/>
      </c>
      <c r="E1142" s="38" t="str">
        <f t="shared" si="69"/>
        <v/>
      </c>
      <c r="G1142" s="1"/>
      <c r="L1142" s="39" t="str">
        <f t="shared" si="70"/>
        <v/>
      </c>
      <c r="T1142" s="39" t="str">
        <f t="shared" si="71"/>
        <v/>
      </c>
    </row>
    <row r="1143" spans="4:20" x14ac:dyDescent="0.25">
      <c r="D1143" s="38" t="str">
        <f t="shared" si="68"/>
        <v/>
      </c>
      <c r="E1143" s="38" t="str">
        <f t="shared" si="69"/>
        <v/>
      </c>
      <c r="G1143" s="1"/>
      <c r="L1143" s="39" t="str">
        <f t="shared" si="70"/>
        <v/>
      </c>
      <c r="T1143" s="39" t="str">
        <f t="shared" si="71"/>
        <v/>
      </c>
    </row>
    <row r="1144" spans="4:20" x14ac:dyDescent="0.25">
      <c r="D1144" s="38" t="str">
        <f t="shared" si="68"/>
        <v/>
      </c>
      <c r="E1144" s="38" t="str">
        <f t="shared" si="69"/>
        <v/>
      </c>
      <c r="G1144" s="1"/>
      <c r="L1144" s="39" t="str">
        <f t="shared" si="70"/>
        <v/>
      </c>
      <c r="T1144" s="39" t="str">
        <f t="shared" si="71"/>
        <v/>
      </c>
    </row>
    <row r="1145" spans="4:20" x14ac:dyDescent="0.25">
      <c r="D1145" s="38" t="str">
        <f t="shared" si="68"/>
        <v/>
      </c>
      <c r="E1145" s="38" t="str">
        <f t="shared" si="69"/>
        <v/>
      </c>
      <c r="G1145" s="1"/>
      <c r="L1145" s="39" t="str">
        <f t="shared" si="70"/>
        <v/>
      </c>
      <c r="T1145" s="39" t="str">
        <f t="shared" si="71"/>
        <v/>
      </c>
    </row>
    <row r="1146" spans="4:20" x14ac:dyDescent="0.25">
      <c r="D1146" s="38" t="str">
        <f t="shared" si="68"/>
        <v/>
      </c>
      <c r="E1146" s="38" t="str">
        <f t="shared" si="69"/>
        <v/>
      </c>
      <c r="G1146" s="1"/>
      <c r="L1146" s="39" t="str">
        <f t="shared" si="70"/>
        <v/>
      </c>
      <c r="T1146" s="39" t="str">
        <f t="shared" si="71"/>
        <v/>
      </c>
    </row>
    <row r="1147" spans="4:20" x14ac:dyDescent="0.25">
      <c r="D1147" s="38" t="str">
        <f t="shared" si="68"/>
        <v/>
      </c>
      <c r="E1147" s="38" t="str">
        <f t="shared" si="69"/>
        <v/>
      </c>
      <c r="G1147" s="1"/>
      <c r="L1147" s="39" t="str">
        <f t="shared" si="70"/>
        <v/>
      </c>
      <c r="T1147" s="39" t="str">
        <f t="shared" si="71"/>
        <v/>
      </c>
    </row>
    <row r="1148" spans="4:20" x14ac:dyDescent="0.25">
      <c r="D1148" s="38" t="str">
        <f t="shared" si="68"/>
        <v/>
      </c>
      <c r="E1148" s="38" t="str">
        <f t="shared" si="69"/>
        <v/>
      </c>
      <c r="G1148" s="1"/>
      <c r="L1148" s="39" t="str">
        <f t="shared" si="70"/>
        <v/>
      </c>
      <c r="T1148" s="39" t="str">
        <f t="shared" si="71"/>
        <v/>
      </c>
    </row>
    <row r="1149" spans="4:20" x14ac:dyDescent="0.25">
      <c r="D1149" s="38" t="str">
        <f t="shared" si="68"/>
        <v/>
      </c>
      <c r="E1149" s="38" t="str">
        <f t="shared" si="69"/>
        <v/>
      </c>
      <c r="G1149" s="1"/>
      <c r="L1149" s="39" t="str">
        <f t="shared" si="70"/>
        <v/>
      </c>
      <c r="T1149" s="39" t="str">
        <f t="shared" si="71"/>
        <v/>
      </c>
    </row>
    <row r="1150" spans="4:20" x14ac:dyDescent="0.25">
      <c r="D1150" s="38" t="str">
        <f t="shared" si="68"/>
        <v/>
      </c>
      <c r="E1150" s="38" t="str">
        <f t="shared" si="69"/>
        <v/>
      </c>
      <c r="G1150" s="1"/>
      <c r="L1150" s="39" t="str">
        <f t="shared" si="70"/>
        <v/>
      </c>
      <c r="T1150" s="39" t="str">
        <f t="shared" si="71"/>
        <v/>
      </c>
    </row>
    <row r="1151" spans="4:20" x14ac:dyDescent="0.25">
      <c r="D1151" s="38" t="str">
        <f t="shared" si="68"/>
        <v/>
      </c>
      <c r="E1151" s="38" t="str">
        <f t="shared" si="69"/>
        <v/>
      </c>
      <c r="G1151" s="1"/>
      <c r="L1151" s="39" t="str">
        <f t="shared" si="70"/>
        <v/>
      </c>
      <c r="T1151" s="39" t="str">
        <f t="shared" si="71"/>
        <v/>
      </c>
    </row>
    <row r="1152" spans="4:20" x14ac:dyDescent="0.25">
      <c r="D1152" s="38" t="str">
        <f t="shared" si="68"/>
        <v/>
      </c>
      <c r="E1152" s="38" t="str">
        <f t="shared" si="69"/>
        <v/>
      </c>
      <c r="G1152" s="1"/>
      <c r="L1152" s="39" t="str">
        <f t="shared" si="70"/>
        <v/>
      </c>
      <c r="T1152" s="39" t="str">
        <f t="shared" si="71"/>
        <v/>
      </c>
    </row>
    <row r="1153" spans="4:20" x14ac:dyDescent="0.25">
      <c r="D1153" s="38" t="str">
        <f t="shared" si="68"/>
        <v/>
      </c>
      <c r="E1153" s="38" t="str">
        <f t="shared" si="69"/>
        <v/>
      </c>
      <c r="G1153" s="1"/>
      <c r="L1153" s="39" t="str">
        <f t="shared" si="70"/>
        <v/>
      </c>
      <c r="T1153" s="39" t="str">
        <f t="shared" si="71"/>
        <v/>
      </c>
    </row>
    <row r="1154" spans="4:20" x14ac:dyDescent="0.25">
      <c r="D1154" s="38" t="str">
        <f t="shared" ref="D1154:D1217" si="72">IF($B1154="", "", CHOOSE(MONTH($B1154), "Gennaio","Febbraio","Marzo","Aprile","Maggio","Giugno","Luglio","Agosto","Settembre","Ottobre","Novembre","Dicembre"))</f>
        <v/>
      </c>
      <c r="E1154" s="38" t="str">
        <f t="shared" ref="E1154:E1217" si="73">IF($B1154="", "", CHOOSE(WEEKDAY($B1154,2), "Lunedì","Martedì","Mercoledì","Giovedì","Venerdì","Sabato","Domenica"))</f>
        <v/>
      </c>
      <c r="G1154" s="1"/>
      <c r="L1154" s="39" t="str">
        <f t="shared" ref="L1154:L1217" si="74">IF($K1154="Target", $G1154*$H1154, IF($K1154="Stop Loss", -$G1154, IF($K1154="Breakeven", 0, "")))</f>
        <v/>
      </c>
      <c r="T1154" s="39" t="str">
        <f t="shared" si="71"/>
        <v/>
      </c>
    </row>
    <row r="1155" spans="4:20" x14ac:dyDescent="0.25">
      <c r="D1155" s="38" t="str">
        <f t="shared" si="72"/>
        <v/>
      </c>
      <c r="E1155" s="38" t="str">
        <f t="shared" si="73"/>
        <v/>
      </c>
      <c r="G1155" s="1"/>
      <c r="L1155" s="39" t="str">
        <f t="shared" si="74"/>
        <v/>
      </c>
      <c r="T1155" s="39" t="str">
        <f t="shared" ref="T1155:T1218" si="75">IF($L1155="", "", $T1154 + $L1155)</f>
        <v/>
      </c>
    </row>
    <row r="1156" spans="4:20" x14ac:dyDescent="0.25">
      <c r="D1156" s="38" t="str">
        <f t="shared" si="72"/>
        <v/>
      </c>
      <c r="E1156" s="38" t="str">
        <f t="shared" si="73"/>
        <v/>
      </c>
      <c r="G1156" s="1"/>
      <c r="L1156" s="39" t="str">
        <f t="shared" si="74"/>
        <v/>
      </c>
      <c r="T1156" s="39" t="str">
        <f t="shared" si="75"/>
        <v/>
      </c>
    </row>
    <row r="1157" spans="4:20" x14ac:dyDescent="0.25">
      <c r="D1157" s="38" t="str">
        <f t="shared" si="72"/>
        <v/>
      </c>
      <c r="E1157" s="38" t="str">
        <f t="shared" si="73"/>
        <v/>
      </c>
      <c r="G1157" s="1"/>
      <c r="L1157" s="39" t="str">
        <f t="shared" si="74"/>
        <v/>
      </c>
      <c r="T1157" s="39" t="str">
        <f t="shared" si="75"/>
        <v/>
      </c>
    </row>
    <row r="1158" spans="4:20" x14ac:dyDescent="0.25">
      <c r="D1158" s="38" t="str">
        <f t="shared" si="72"/>
        <v/>
      </c>
      <c r="E1158" s="38" t="str">
        <f t="shared" si="73"/>
        <v/>
      </c>
      <c r="G1158" s="1"/>
      <c r="L1158" s="39" t="str">
        <f t="shared" si="74"/>
        <v/>
      </c>
      <c r="T1158" s="39" t="str">
        <f t="shared" si="75"/>
        <v/>
      </c>
    </row>
    <row r="1159" spans="4:20" x14ac:dyDescent="0.25">
      <c r="D1159" s="38" t="str">
        <f t="shared" si="72"/>
        <v/>
      </c>
      <c r="E1159" s="38" t="str">
        <f t="shared" si="73"/>
        <v/>
      </c>
      <c r="G1159" s="1"/>
      <c r="L1159" s="39" t="str">
        <f t="shared" si="74"/>
        <v/>
      </c>
      <c r="T1159" s="39" t="str">
        <f t="shared" si="75"/>
        <v/>
      </c>
    </row>
    <row r="1160" spans="4:20" x14ac:dyDescent="0.25">
      <c r="D1160" s="38" t="str">
        <f t="shared" si="72"/>
        <v/>
      </c>
      <c r="E1160" s="38" t="str">
        <f t="shared" si="73"/>
        <v/>
      </c>
      <c r="G1160" s="1"/>
      <c r="L1160" s="39" t="str">
        <f t="shared" si="74"/>
        <v/>
      </c>
      <c r="T1160" s="39" t="str">
        <f t="shared" si="75"/>
        <v/>
      </c>
    </row>
    <row r="1161" spans="4:20" x14ac:dyDescent="0.25">
      <c r="D1161" s="38" t="str">
        <f t="shared" si="72"/>
        <v/>
      </c>
      <c r="E1161" s="38" t="str">
        <f t="shared" si="73"/>
        <v/>
      </c>
      <c r="G1161" s="1"/>
      <c r="L1161" s="39" t="str">
        <f t="shared" si="74"/>
        <v/>
      </c>
      <c r="T1161" s="39" t="str">
        <f t="shared" si="75"/>
        <v/>
      </c>
    </row>
    <row r="1162" spans="4:20" x14ac:dyDescent="0.25">
      <c r="D1162" s="38" t="str">
        <f t="shared" si="72"/>
        <v/>
      </c>
      <c r="E1162" s="38" t="str">
        <f t="shared" si="73"/>
        <v/>
      </c>
      <c r="G1162" s="1"/>
      <c r="L1162" s="39" t="str">
        <f t="shared" si="74"/>
        <v/>
      </c>
      <c r="T1162" s="39" t="str">
        <f t="shared" si="75"/>
        <v/>
      </c>
    </row>
    <row r="1163" spans="4:20" x14ac:dyDescent="0.25">
      <c r="D1163" s="38" t="str">
        <f t="shared" si="72"/>
        <v/>
      </c>
      <c r="E1163" s="38" t="str">
        <f t="shared" si="73"/>
        <v/>
      </c>
      <c r="G1163" s="1"/>
      <c r="L1163" s="39" t="str">
        <f t="shared" si="74"/>
        <v/>
      </c>
      <c r="T1163" s="39" t="str">
        <f t="shared" si="75"/>
        <v/>
      </c>
    </row>
    <row r="1164" spans="4:20" x14ac:dyDescent="0.25">
      <c r="D1164" s="38" t="str">
        <f t="shared" si="72"/>
        <v/>
      </c>
      <c r="E1164" s="38" t="str">
        <f t="shared" si="73"/>
        <v/>
      </c>
      <c r="G1164" s="1"/>
      <c r="L1164" s="39" t="str">
        <f t="shared" si="74"/>
        <v/>
      </c>
      <c r="T1164" s="39" t="str">
        <f t="shared" si="75"/>
        <v/>
      </c>
    </row>
    <row r="1165" spans="4:20" x14ac:dyDescent="0.25">
      <c r="D1165" s="38" t="str">
        <f t="shared" si="72"/>
        <v/>
      </c>
      <c r="E1165" s="38" t="str">
        <f t="shared" si="73"/>
        <v/>
      </c>
      <c r="G1165" s="1"/>
      <c r="L1165" s="39" t="str">
        <f t="shared" si="74"/>
        <v/>
      </c>
      <c r="T1165" s="39" t="str">
        <f t="shared" si="75"/>
        <v/>
      </c>
    </row>
    <row r="1166" spans="4:20" x14ac:dyDescent="0.25">
      <c r="D1166" s="38" t="str">
        <f t="shared" si="72"/>
        <v/>
      </c>
      <c r="E1166" s="38" t="str">
        <f t="shared" si="73"/>
        <v/>
      </c>
      <c r="G1166" s="1"/>
      <c r="L1166" s="39" t="str">
        <f t="shared" si="74"/>
        <v/>
      </c>
      <c r="T1166" s="39" t="str">
        <f t="shared" si="75"/>
        <v/>
      </c>
    </row>
    <row r="1167" spans="4:20" x14ac:dyDescent="0.25">
      <c r="D1167" s="38" t="str">
        <f t="shared" si="72"/>
        <v/>
      </c>
      <c r="E1167" s="38" t="str">
        <f t="shared" si="73"/>
        <v/>
      </c>
      <c r="G1167" s="1"/>
      <c r="L1167" s="39" t="str">
        <f t="shared" si="74"/>
        <v/>
      </c>
      <c r="T1167" s="39" t="str">
        <f t="shared" si="75"/>
        <v/>
      </c>
    </row>
    <row r="1168" spans="4:20" x14ac:dyDescent="0.25">
      <c r="D1168" s="38" t="str">
        <f t="shared" si="72"/>
        <v/>
      </c>
      <c r="E1168" s="38" t="str">
        <f t="shared" si="73"/>
        <v/>
      </c>
      <c r="G1168" s="1"/>
      <c r="L1168" s="39" t="str">
        <f t="shared" si="74"/>
        <v/>
      </c>
      <c r="T1168" s="39" t="str">
        <f t="shared" si="75"/>
        <v/>
      </c>
    </row>
    <row r="1169" spans="4:20" x14ac:dyDescent="0.25">
      <c r="D1169" s="38" t="str">
        <f t="shared" si="72"/>
        <v/>
      </c>
      <c r="E1169" s="38" t="str">
        <f t="shared" si="73"/>
        <v/>
      </c>
      <c r="G1169" s="1"/>
      <c r="L1169" s="39" t="str">
        <f t="shared" si="74"/>
        <v/>
      </c>
      <c r="T1169" s="39" t="str">
        <f t="shared" si="75"/>
        <v/>
      </c>
    </row>
    <row r="1170" spans="4:20" x14ac:dyDescent="0.25">
      <c r="D1170" s="38" t="str">
        <f t="shared" si="72"/>
        <v/>
      </c>
      <c r="E1170" s="38" t="str">
        <f t="shared" si="73"/>
        <v/>
      </c>
      <c r="G1170" s="1"/>
      <c r="L1170" s="39" t="str">
        <f t="shared" si="74"/>
        <v/>
      </c>
      <c r="T1170" s="39" t="str">
        <f t="shared" si="75"/>
        <v/>
      </c>
    </row>
    <row r="1171" spans="4:20" x14ac:dyDescent="0.25">
      <c r="D1171" s="38" t="str">
        <f t="shared" si="72"/>
        <v/>
      </c>
      <c r="E1171" s="38" t="str">
        <f t="shared" si="73"/>
        <v/>
      </c>
      <c r="G1171" s="1"/>
      <c r="L1171" s="39" t="str">
        <f t="shared" si="74"/>
        <v/>
      </c>
      <c r="T1171" s="39" t="str">
        <f t="shared" si="75"/>
        <v/>
      </c>
    </row>
    <row r="1172" spans="4:20" x14ac:dyDescent="0.25">
      <c r="D1172" s="38" t="str">
        <f t="shared" si="72"/>
        <v/>
      </c>
      <c r="E1172" s="38" t="str">
        <f t="shared" si="73"/>
        <v/>
      </c>
      <c r="G1172" s="1"/>
      <c r="L1172" s="39" t="str">
        <f t="shared" si="74"/>
        <v/>
      </c>
      <c r="T1172" s="39" t="str">
        <f t="shared" si="75"/>
        <v/>
      </c>
    </row>
    <row r="1173" spans="4:20" x14ac:dyDescent="0.25">
      <c r="D1173" s="38" t="str">
        <f t="shared" si="72"/>
        <v/>
      </c>
      <c r="E1173" s="38" t="str">
        <f t="shared" si="73"/>
        <v/>
      </c>
      <c r="G1173" s="1"/>
      <c r="L1173" s="39" t="str">
        <f t="shared" si="74"/>
        <v/>
      </c>
      <c r="T1173" s="39" t="str">
        <f t="shared" si="75"/>
        <v/>
      </c>
    </row>
    <row r="1174" spans="4:20" x14ac:dyDescent="0.25">
      <c r="D1174" s="38" t="str">
        <f t="shared" si="72"/>
        <v/>
      </c>
      <c r="E1174" s="38" t="str">
        <f t="shared" si="73"/>
        <v/>
      </c>
      <c r="G1174" s="1"/>
      <c r="L1174" s="39" t="str">
        <f t="shared" si="74"/>
        <v/>
      </c>
      <c r="T1174" s="39" t="str">
        <f t="shared" si="75"/>
        <v/>
      </c>
    </row>
    <row r="1175" spans="4:20" x14ac:dyDescent="0.25">
      <c r="D1175" s="38" t="str">
        <f t="shared" si="72"/>
        <v/>
      </c>
      <c r="E1175" s="38" t="str">
        <f t="shared" si="73"/>
        <v/>
      </c>
      <c r="G1175" s="1"/>
      <c r="L1175" s="39" t="str">
        <f t="shared" si="74"/>
        <v/>
      </c>
      <c r="T1175" s="39" t="str">
        <f t="shared" si="75"/>
        <v/>
      </c>
    </row>
    <row r="1176" spans="4:20" x14ac:dyDescent="0.25">
      <c r="D1176" s="38" t="str">
        <f t="shared" si="72"/>
        <v/>
      </c>
      <c r="E1176" s="38" t="str">
        <f t="shared" si="73"/>
        <v/>
      </c>
      <c r="G1176" s="1"/>
      <c r="L1176" s="39" t="str">
        <f t="shared" si="74"/>
        <v/>
      </c>
      <c r="T1176" s="39" t="str">
        <f t="shared" si="75"/>
        <v/>
      </c>
    </row>
    <row r="1177" spans="4:20" x14ac:dyDescent="0.25">
      <c r="D1177" s="38" t="str">
        <f t="shared" si="72"/>
        <v/>
      </c>
      <c r="E1177" s="38" t="str">
        <f t="shared" si="73"/>
        <v/>
      </c>
      <c r="G1177" s="1"/>
      <c r="L1177" s="39" t="str">
        <f t="shared" si="74"/>
        <v/>
      </c>
      <c r="T1177" s="39" t="str">
        <f t="shared" si="75"/>
        <v/>
      </c>
    </row>
    <row r="1178" spans="4:20" x14ac:dyDescent="0.25">
      <c r="D1178" s="38" t="str">
        <f t="shared" si="72"/>
        <v/>
      </c>
      <c r="E1178" s="38" t="str">
        <f t="shared" si="73"/>
        <v/>
      </c>
      <c r="G1178" s="1"/>
      <c r="L1178" s="39" t="str">
        <f t="shared" si="74"/>
        <v/>
      </c>
      <c r="T1178" s="39" t="str">
        <f t="shared" si="75"/>
        <v/>
      </c>
    </row>
    <row r="1179" spans="4:20" x14ac:dyDescent="0.25">
      <c r="D1179" s="38" t="str">
        <f t="shared" si="72"/>
        <v/>
      </c>
      <c r="E1179" s="38" t="str">
        <f t="shared" si="73"/>
        <v/>
      </c>
      <c r="G1179" s="1"/>
      <c r="L1179" s="39" t="str">
        <f t="shared" si="74"/>
        <v/>
      </c>
      <c r="T1179" s="39" t="str">
        <f t="shared" si="75"/>
        <v/>
      </c>
    </row>
    <row r="1180" spans="4:20" x14ac:dyDescent="0.25">
      <c r="D1180" s="38" t="str">
        <f t="shared" si="72"/>
        <v/>
      </c>
      <c r="E1180" s="38" t="str">
        <f t="shared" si="73"/>
        <v/>
      </c>
      <c r="G1180" s="1"/>
      <c r="L1180" s="39" t="str">
        <f t="shared" si="74"/>
        <v/>
      </c>
      <c r="T1180" s="39" t="str">
        <f t="shared" si="75"/>
        <v/>
      </c>
    </row>
    <row r="1181" spans="4:20" x14ac:dyDescent="0.25">
      <c r="D1181" s="38" t="str">
        <f t="shared" si="72"/>
        <v/>
      </c>
      <c r="E1181" s="38" t="str">
        <f t="shared" si="73"/>
        <v/>
      </c>
      <c r="G1181" s="1"/>
      <c r="L1181" s="39" t="str">
        <f t="shared" si="74"/>
        <v/>
      </c>
      <c r="T1181" s="39" t="str">
        <f t="shared" si="75"/>
        <v/>
      </c>
    </row>
    <row r="1182" spans="4:20" x14ac:dyDescent="0.25">
      <c r="D1182" s="38" t="str">
        <f t="shared" si="72"/>
        <v/>
      </c>
      <c r="E1182" s="38" t="str">
        <f t="shared" si="73"/>
        <v/>
      </c>
      <c r="G1182" s="1"/>
      <c r="L1182" s="39" t="str">
        <f t="shared" si="74"/>
        <v/>
      </c>
      <c r="T1182" s="39" t="str">
        <f t="shared" si="75"/>
        <v/>
      </c>
    </row>
    <row r="1183" spans="4:20" x14ac:dyDescent="0.25">
      <c r="D1183" s="38" t="str">
        <f t="shared" si="72"/>
        <v/>
      </c>
      <c r="E1183" s="38" t="str">
        <f t="shared" si="73"/>
        <v/>
      </c>
      <c r="G1183" s="1"/>
      <c r="L1183" s="39" t="str">
        <f t="shared" si="74"/>
        <v/>
      </c>
      <c r="T1183" s="39" t="str">
        <f t="shared" si="75"/>
        <v/>
      </c>
    </row>
    <row r="1184" spans="4:20" x14ac:dyDescent="0.25">
      <c r="D1184" s="38" t="str">
        <f t="shared" si="72"/>
        <v/>
      </c>
      <c r="E1184" s="38" t="str">
        <f t="shared" si="73"/>
        <v/>
      </c>
      <c r="G1184" s="1"/>
      <c r="L1184" s="39" t="str">
        <f t="shared" si="74"/>
        <v/>
      </c>
      <c r="T1184" s="39" t="str">
        <f t="shared" si="75"/>
        <v/>
      </c>
    </row>
    <row r="1185" spans="4:20" x14ac:dyDescent="0.25">
      <c r="D1185" s="38" t="str">
        <f t="shared" si="72"/>
        <v/>
      </c>
      <c r="E1185" s="38" t="str">
        <f t="shared" si="73"/>
        <v/>
      </c>
      <c r="G1185" s="1"/>
      <c r="L1185" s="39" t="str">
        <f t="shared" si="74"/>
        <v/>
      </c>
      <c r="T1185" s="39" t="str">
        <f t="shared" si="75"/>
        <v/>
      </c>
    </row>
    <row r="1186" spans="4:20" x14ac:dyDescent="0.25">
      <c r="D1186" s="38" t="str">
        <f t="shared" si="72"/>
        <v/>
      </c>
      <c r="E1186" s="38" t="str">
        <f t="shared" si="73"/>
        <v/>
      </c>
      <c r="G1186" s="1"/>
      <c r="L1186" s="39" t="str">
        <f t="shared" si="74"/>
        <v/>
      </c>
      <c r="T1186" s="39" t="str">
        <f t="shared" si="75"/>
        <v/>
      </c>
    </row>
    <row r="1187" spans="4:20" x14ac:dyDescent="0.25">
      <c r="D1187" s="38" t="str">
        <f t="shared" si="72"/>
        <v/>
      </c>
      <c r="E1187" s="38" t="str">
        <f t="shared" si="73"/>
        <v/>
      </c>
      <c r="G1187" s="1"/>
      <c r="L1187" s="39" t="str">
        <f t="shared" si="74"/>
        <v/>
      </c>
      <c r="T1187" s="39" t="str">
        <f t="shared" si="75"/>
        <v/>
      </c>
    </row>
    <row r="1188" spans="4:20" x14ac:dyDescent="0.25">
      <c r="D1188" s="38" t="str">
        <f t="shared" si="72"/>
        <v/>
      </c>
      <c r="E1188" s="38" t="str">
        <f t="shared" si="73"/>
        <v/>
      </c>
      <c r="G1188" s="1"/>
      <c r="L1188" s="39" t="str">
        <f t="shared" si="74"/>
        <v/>
      </c>
      <c r="T1188" s="39" t="str">
        <f t="shared" si="75"/>
        <v/>
      </c>
    </row>
    <row r="1189" spans="4:20" x14ac:dyDescent="0.25">
      <c r="D1189" s="38" t="str">
        <f t="shared" si="72"/>
        <v/>
      </c>
      <c r="E1189" s="38" t="str">
        <f t="shared" si="73"/>
        <v/>
      </c>
      <c r="G1189" s="1"/>
      <c r="L1189" s="39" t="str">
        <f t="shared" si="74"/>
        <v/>
      </c>
      <c r="T1189" s="39" t="str">
        <f t="shared" si="75"/>
        <v/>
      </c>
    </row>
    <row r="1190" spans="4:20" x14ac:dyDescent="0.25">
      <c r="D1190" s="38" t="str">
        <f t="shared" si="72"/>
        <v/>
      </c>
      <c r="E1190" s="38" t="str">
        <f t="shared" si="73"/>
        <v/>
      </c>
      <c r="G1190" s="1"/>
      <c r="L1190" s="39" t="str">
        <f t="shared" si="74"/>
        <v/>
      </c>
      <c r="T1190" s="39" t="str">
        <f t="shared" si="75"/>
        <v/>
      </c>
    </row>
    <row r="1191" spans="4:20" x14ac:dyDescent="0.25">
      <c r="D1191" s="38" t="str">
        <f t="shared" si="72"/>
        <v/>
      </c>
      <c r="E1191" s="38" t="str">
        <f t="shared" si="73"/>
        <v/>
      </c>
      <c r="G1191" s="1"/>
      <c r="L1191" s="39" t="str">
        <f t="shared" si="74"/>
        <v/>
      </c>
      <c r="T1191" s="39" t="str">
        <f t="shared" si="75"/>
        <v/>
      </c>
    </row>
    <row r="1192" spans="4:20" x14ac:dyDescent="0.25">
      <c r="D1192" s="38" t="str">
        <f t="shared" si="72"/>
        <v/>
      </c>
      <c r="E1192" s="38" t="str">
        <f t="shared" si="73"/>
        <v/>
      </c>
      <c r="G1192" s="1"/>
      <c r="L1192" s="39" t="str">
        <f t="shared" si="74"/>
        <v/>
      </c>
      <c r="T1192" s="39" t="str">
        <f t="shared" si="75"/>
        <v/>
      </c>
    </row>
    <row r="1193" spans="4:20" x14ac:dyDescent="0.25">
      <c r="D1193" s="38" t="str">
        <f t="shared" si="72"/>
        <v/>
      </c>
      <c r="E1193" s="38" t="str">
        <f t="shared" si="73"/>
        <v/>
      </c>
      <c r="G1193" s="1"/>
      <c r="L1193" s="39" t="str">
        <f t="shared" si="74"/>
        <v/>
      </c>
      <c r="T1193" s="39" t="str">
        <f t="shared" si="75"/>
        <v/>
      </c>
    </row>
    <row r="1194" spans="4:20" x14ac:dyDescent="0.25">
      <c r="D1194" s="38" t="str">
        <f t="shared" si="72"/>
        <v/>
      </c>
      <c r="E1194" s="38" t="str">
        <f t="shared" si="73"/>
        <v/>
      </c>
      <c r="G1194" s="1"/>
      <c r="L1194" s="39" t="str">
        <f t="shared" si="74"/>
        <v/>
      </c>
      <c r="T1194" s="39" t="str">
        <f t="shared" si="75"/>
        <v/>
      </c>
    </row>
    <row r="1195" spans="4:20" x14ac:dyDescent="0.25">
      <c r="D1195" s="38" t="str">
        <f t="shared" si="72"/>
        <v/>
      </c>
      <c r="E1195" s="38" t="str">
        <f t="shared" si="73"/>
        <v/>
      </c>
      <c r="G1195" s="1"/>
      <c r="L1195" s="39" t="str">
        <f t="shared" si="74"/>
        <v/>
      </c>
      <c r="T1195" s="39" t="str">
        <f t="shared" si="75"/>
        <v/>
      </c>
    </row>
    <row r="1196" spans="4:20" x14ac:dyDescent="0.25">
      <c r="D1196" s="38" t="str">
        <f t="shared" si="72"/>
        <v/>
      </c>
      <c r="E1196" s="38" t="str">
        <f t="shared" si="73"/>
        <v/>
      </c>
      <c r="G1196" s="1"/>
      <c r="L1196" s="39" t="str">
        <f t="shared" si="74"/>
        <v/>
      </c>
      <c r="T1196" s="39" t="str">
        <f t="shared" si="75"/>
        <v/>
      </c>
    </row>
    <row r="1197" spans="4:20" x14ac:dyDescent="0.25">
      <c r="D1197" s="38" t="str">
        <f t="shared" si="72"/>
        <v/>
      </c>
      <c r="E1197" s="38" t="str">
        <f t="shared" si="73"/>
        <v/>
      </c>
      <c r="G1197" s="1"/>
      <c r="L1197" s="39" t="str">
        <f t="shared" si="74"/>
        <v/>
      </c>
      <c r="T1197" s="39" t="str">
        <f t="shared" si="75"/>
        <v/>
      </c>
    </row>
    <row r="1198" spans="4:20" x14ac:dyDescent="0.25">
      <c r="D1198" s="38" t="str">
        <f t="shared" si="72"/>
        <v/>
      </c>
      <c r="E1198" s="38" t="str">
        <f t="shared" si="73"/>
        <v/>
      </c>
      <c r="G1198" s="1"/>
      <c r="L1198" s="39" t="str">
        <f t="shared" si="74"/>
        <v/>
      </c>
      <c r="T1198" s="39" t="str">
        <f t="shared" si="75"/>
        <v/>
      </c>
    </row>
    <row r="1199" spans="4:20" x14ac:dyDescent="0.25">
      <c r="D1199" s="38" t="str">
        <f t="shared" si="72"/>
        <v/>
      </c>
      <c r="E1199" s="38" t="str">
        <f t="shared" si="73"/>
        <v/>
      </c>
      <c r="G1199" s="1"/>
      <c r="L1199" s="39" t="str">
        <f t="shared" si="74"/>
        <v/>
      </c>
      <c r="T1199" s="39" t="str">
        <f t="shared" si="75"/>
        <v/>
      </c>
    </row>
    <row r="1200" spans="4:20" x14ac:dyDescent="0.25">
      <c r="D1200" s="38" t="str">
        <f t="shared" si="72"/>
        <v/>
      </c>
      <c r="E1200" s="38" t="str">
        <f t="shared" si="73"/>
        <v/>
      </c>
      <c r="G1200" s="1"/>
      <c r="L1200" s="39" t="str">
        <f t="shared" si="74"/>
        <v/>
      </c>
      <c r="T1200" s="39" t="str">
        <f t="shared" si="75"/>
        <v/>
      </c>
    </row>
    <row r="1201" spans="4:20" x14ac:dyDescent="0.25">
      <c r="D1201" s="38" t="str">
        <f t="shared" si="72"/>
        <v/>
      </c>
      <c r="E1201" s="38" t="str">
        <f t="shared" si="73"/>
        <v/>
      </c>
      <c r="G1201" s="1"/>
      <c r="L1201" s="39" t="str">
        <f t="shared" si="74"/>
        <v/>
      </c>
      <c r="T1201" s="39" t="str">
        <f t="shared" si="75"/>
        <v/>
      </c>
    </row>
    <row r="1202" spans="4:20" x14ac:dyDescent="0.25">
      <c r="D1202" s="38" t="str">
        <f t="shared" si="72"/>
        <v/>
      </c>
      <c r="E1202" s="38" t="str">
        <f t="shared" si="73"/>
        <v/>
      </c>
      <c r="G1202" s="1"/>
      <c r="L1202" s="39" t="str">
        <f t="shared" si="74"/>
        <v/>
      </c>
      <c r="T1202" s="39" t="str">
        <f t="shared" si="75"/>
        <v/>
      </c>
    </row>
    <row r="1203" spans="4:20" x14ac:dyDescent="0.25">
      <c r="D1203" s="38" t="str">
        <f t="shared" si="72"/>
        <v/>
      </c>
      <c r="E1203" s="38" t="str">
        <f t="shared" si="73"/>
        <v/>
      </c>
      <c r="G1203" s="1"/>
      <c r="L1203" s="39" t="str">
        <f t="shared" si="74"/>
        <v/>
      </c>
      <c r="T1203" s="39" t="str">
        <f t="shared" si="75"/>
        <v/>
      </c>
    </row>
    <row r="1204" spans="4:20" x14ac:dyDescent="0.25">
      <c r="D1204" s="38" t="str">
        <f t="shared" si="72"/>
        <v/>
      </c>
      <c r="E1204" s="38" t="str">
        <f t="shared" si="73"/>
        <v/>
      </c>
      <c r="G1204" s="1"/>
      <c r="L1204" s="39" t="str">
        <f t="shared" si="74"/>
        <v/>
      </c>
      <c r="T1204" s="39" t="str">
        <f t="shared" si="75"/>
        <v/>
      </c>
    </row>
    <row r="1205" spans="4:20" x14ac:dyDescent="0.25">
      <c r="D1205" s="38" t="str">
        <f t="shared" si="72"/>
        <v/>
      </c>
      <c r="E1205" s="38" t="str">
        <f t="shared" si="73"/>
        <v/>
      </c>
      <c r="G1205" s="1"/>
      <c r="L1205" s="39" t="str">
        <f t="shared" si="74"/>
        <v/>
      </c>
      <c r="T1205" s="39" t="str">
        <f t="shared" si="75"/>
        <v/>
      </c>
    </row>
    <row r="1206" spans="4:20" x14ac:dyDescent="0.25">
      <c r="D1206" s="38" t="str">
        <f t="shared" si="72"/>
        <v/>
      </c>
      <c r="E1206" s="38" t="str">
        <f t="shared" si="73"/>
        <v/>
      </c>
      <c r="G1206" s="1"/>
      <c r="L1206" s="39" t="str">
        <f t="shared" si="74"/>
        <v/>
      </c>
      <c r="T1206" s="39" t="str">
        <f t="shared" si="75"/>
        <v/>
      </c>
    </row>
    <row r="1207" spans="4:20" x14ac:dyDescent="0.25">
      <c r="D1207" s="38" t="str">
        <f t="shared" si="72"/>
        <v/>
      </c>
      <c r="E1207" s="38" t="str">
        <f t="shared" si="73"/>
        <v/>
      </c>
      <c r="G1207" s="1"/>
      <c r="L1207" s="39" t="str">
        <f t="shared" si="74"/>
        <v/>
      </c>
      <c r="T1207" s="39" t="str">
        <f t="shared" si="75"/>
        <v/>
      </c>
    </row>
    <row r="1208" spans="4:20" x14ac:dyDescent="0.25">
      <c r="D1208" s="38" t="str">
        <f t="shared" si="72"/>
        <v/>
      </c>
      <c r="E1208" s="38" t="str">
        <f t="shared" si="73"/>
        <v/>
      </c>
      <c r="G1208" s="1"/>
      <c r="L1208" s="39" t="str">
        <f t="shared" si="74"/>
        <v/>
      </c>
      <c r="T1208" s="39" t="str">
        <f t="shared" si="75"/>
        <v/>
      </c>
    </row>
    <row r="1209" spans="4:20" x14ac:dyDescent="0.25">
      <c r="D1209" s="38" t="str">
        <f t="shared" si="72"/>
        <v/>
      </c>
      <c r="E1209" s="38" t="str">
        <f t="shared" si="73"/>
        <v/>
      </c>
      <c r="G1209" s="1"/>
      <c r="L1209" s="39" t="str">
        <f t="shared" si="74"/>
        <v/>
      </c>
      <c r="T1209" s="39" t="str">
        <f t="shared" si="75"/>
        <v/>
      </c>
    </row>
    <row r="1210" spans="4:20" x14ac:dyDescent="0.25">
      <c r="D1210" s="38" t="str">
        <f t="shared" si="72"/>
        <v/>
      </c>
      <c r="E1210" s="38" t="str">
        <f t="shared" si="73"/>
        <v/>
      </c>
      <c r="G1210" s="1"/>
      <c r="L1210" s="39" t="str">
        <f t="shared" si="74"/>
        <v/>
      </c>
      <c r="T1210" s="39" t="str">
        <f t="shared" si="75"/>
        <v/>
      </c>
    </row>
    <row r="1211" spans="4:20" x14ac:dyDescent="0.25">
      <c r="D1211" s="38" t="str">
        <f t="shared" si="72"/>
        <v/>
      </c>
      <c r="E1211" s="38" t="str">
        <f t="shared" si="73"/>
        <v/>
      </c>
      <c r="G1211" s="1"/>
      <c r="L1211" s="39" t="str">
        <f t="shared" si="74"/>
        <v/>
      </c>
      <c r="T1211" s="39" t="str">
        <f t="shared" si="75"/>
        <v/>
      </c>
    </row>
    <row r="1212" spans="4:20" x14ac:dyDescent="0.25">
      <c r="D1212" s="38" t="str">
        <f t="shared" si="72"/>
        <v/>
      </c>
      <c r="E1212" s="38" t="str">
        <f t="shared" si="73"/>
        <v/>
      </c>
      <c r="G1212" s="1"/>
      <c r="L1212" s="39" t="str">
        <f t="shared" si="74"/>
        <v/>
      </c>
      <c r="T1212" s="39" t="str">
        <f t="shared" si="75"/>
        <v/>
      </c>
    </row>
    <row r="1213" spans="4:20" x14ac:dyDescent="0.25">
      <c r="D1213" s="38" t="str">
        <f t="shared" si="72"/>
        <v/>
      </c>
      <c r="E1213" s="38" t="str">
        <f t="shared" si="73"/>
        <v/>
      </c>
      <c r="G1213" s="1"/>
      <c r="L1213" s="39" t="str">
        <f t="shared" si="74"/>
        <v/>
      </c>
      <c r="T1213" s="39" t="str">
        <f t="shared" si="75"/>
        <v/>
      </c>
    </row>
    <row r="1214" spans="4:20" x14ac:dyDescent="0.25">
      <c r="D1214" s="38" t="str">
        <f t="shared" si="72"/>
        <v/>
      </c>
      <c r="E1214" s="38" t="str">
        <f t="shared" si="73"/>
        <v/>
      </c>
      <c r="G1214" s="1"/>
      <c r="L1214" s="39" t="str">
        <f t="shared" si="74"/>
        <v/>
      </c>
      <c r="T1214" s="39" t="str">
        <f t="shared" si="75"/>
        <v/>
      </c>
    </row>
    <row r="1215" spans="4:20" x14ac:dyDescent="0.25">
      <c r="D1215" s="38" t="str">
        <f t="shared" si="72"/>
        <v/>
      </c>
      <c r="E1215" s="38" t="str">
        <f t="shared" si="73"/>
        <v/>
      </c>
      <c r="G1215" s="1"/>
      <c r="L1215" s="39" t="str">
        <f t="shared" si="74"/>
        <v/>
      </c>
      <c r="T1215" s="39" t="str">
        <f t="shared" si="75"/>
        <v/>
      </c>
    </row>
    <row r="1216" spans="4:20" x14ac:dyDescent="0.25">
      <c r="D1216" s="38" t="str">
        <f t="shared" si="72"/>
        <v/>
      </c>
      <c r="E1216" s="38" t="str">
        <f t="shared" si="73"/>
        <v/>
      </c>
      <c r="G1216" s="1"/>
      <c r="L1216" s="39" t="str">
        <f t="shared" si="74"/>
        <v/>
      </c>
      <c r="T1216" s="39" t="str">
        <f t="shared" si="75"/>
        <v/>
      </c>
    </row>
    <row r="1217" spans="4:20" x14ac:dyDescent="0.25">
      <c r="D1217" s="38" t="str">
        <f t="shared" si="72"/>
        <v/>
      </c>
      <c r="E1217" s="38" t="str">
        <f t="shared" si="73"/>
        <v/>
      </c>
      <c r="G1217" s="1"/>
      <c r="L1217" s="39" t="str">
        <f t="shared" si="74"/>
        <v/>
      </c>
      <c r="T1217" s="39" t="str">
        <f t="shared" si="75"/>
        <v/>
      </c>
    </row>
    <row r="1218" spans="4:20" x14ac:dyDescent="0.25">
      <c r="D1218" s="38" t="str">
        <f t="shared" ref="D1218:D1281" si="76">IF($B1218="", "", CHOOSE(MONTH($B1218), "Gennaio","Febbraio","Marzo","Aprile","Maggio","Giugno","Luglio","Agosto","Settembre","Ottobre","Novembre","Dicembre"))</f>
        <v/>
      </c>
      <c r="E1218" s="38" t="str">
        <f t="shared" ref="E1218:E1281" si="77">IF($B1218="", "", CHOOSE(WEEKDAY($B1218,2), "Lunedì","Martedì","Mercoledì","Giovedì","Venerdì","Sabato","Domenica"))</f>
        <v/>
      </c>
      <c r="G1218" s="1"/>
      <c r="L1218" s="39" t="str">
        <f t="shared" ref="L1218:L1281" si="78">IF($K1218="Target", $G1218*$H1218, IF($K1218="Stop Loss", -$G1218, IF($K1218="Breakeven", 0, "")))</f>
        <v/>
      </c>
      <c r="T1218" s="39" t="str">
        <f t="shared" si="75"/>
        <v/>
      </c>
    </row>
    <row r="1219" spans="4:20" x14ac:dyDescent="0.25">
      <c r="D1219" s="38" t="str">
        <f t="shared" si="76"/>
        <v/>
      </c>
      <c r="E1219" s="38" t="str">
        <f t="shared" si="77"/>
        <v/>
      </c>
      <c r="G1219" s="1"/>
      <c r="L1219" s="39" t="str">
        <f t="shared" si="78"/>
        <v/>
      </c>
      <c r="T1219" s="39" t="str">
        <f t="shared" ref="T1219:T1282" si="79">IF($L1219="", "", $T1218 + $L1219)</f>
        <v/>
      </c>
    </row>
    <row r="1220" spans="4:20" x14ac:dyDescent="0.25">
      <c r="D1220" s="38" t="str">
        <f t="shared" si="76"/>
        <v/>
      </c>
      <c r="E1220" s="38" t="str">
        <f t="shared" si="77"/>
        <v/>
      </c>
      <c r="G1220" s="1"/>
      <c r="L1220" s="39" t="str">
        <f t="shared" si="78"/>
        <v/>
      </c>
      <c r="T1220" s="39" t="str">
        <f t="shared" si="79"/>
        <v/>
      </c>
    </row>
    <row r="1221" spans="4:20" x14ac:dyDescent="0.25">
      <c r="D1221" s="38" t="str">
        <f t="shared" si="76"/>
        <v/>
      </c>
      <c r="E1221" s="38" t="str">
        <f t="shared" si="77"/>
        <v/>
      </c>
      <c r="G1221" s="1"/>
      <c r="L1221" s="39" t="str">
        <f t="shared" si="78"/>
        <v/>
      </c>
      <c r="T1221" s="39" t="str">
        <f t="shared" si="79"/>
        <v/>
      </c>
    </row>
    <row r="1222" spans="4:20" x14ac:dyDescent="0.25">
      <c r="D1222" s="38" t="str">
        <f t="shared" si="76"/>
        <v/>
      </c>
      <c r="E1222" s="38" t="str">
        <f t="shared" si="77"/>
        <v/>
      </c>
      <c r="G1222" s="1"/>
      <c r="L1222" s="39" t="str">
        <f t="shared" si="78"/>
        <v/>
      </c>
      <c r="T1222" s="39" t="str">
        <f t="shared" si="79"/>
        <v/>
      </c>
    </row>
    <row r="1223" spans="4:20" x14ac:dyDescent="0.25">
      <c r="D1223" s="38" t="str">
        <f t="shared" si="76"/>
        <v/>
      </c>
      <c r="E1223" s="38" t="str">
        <f t="shared" si="77"/>
        <v/>
      </c>
      <c r="G1223" s="1"/>
      <c r="L1223" s="39" t="str">
        <f t="shared" si="78"/>
        <v/>
      </c>
      <c r="T1223" s="39" t="str">
        <f t="shared" si="79"/>
        <v/>
      </c>
    </row>
    <row r="1224" spans="4:20" x14ac:dyDescent="0.25">
      <c r="D1224" s="38" t="str">
        <f t="shared" si="76"/>
        <v/>
      </c>
      <c r="E1224" s="38" t="str">
        <f t="shared" si="77"/>
        <v/>
      </c>
      <c r="G1224" s="1"/>
      <c r="L1224" s="39" t="str">
        <f t="shared" si="78"/>
        <v/>
      </c>
      <c r="T1224" s="39" t="str">
        <f t="shared" si="79"/>
        <v/>
      </c>
    </row>
    <row r="1225" spans="4:20" x14ac:dyDescent="0.25">
      <c r="D1225" s="38" t="str">
        <f t="shared" si="76"/>
        <v/>
      </c>
      <c r="E1225" s="38" t="str">
        <f t="shared" si="77"/>
        <v/>
      </c>
      <c r="G1225" s="1"/>
      <c r="L1225" s="39" t="str">
        <f t="shared" si="78"/>
        <v/>
      </c>
      <c r="T1225" s="39" t="str">
        <f t="shared" si="79"/>
        <v/>
      </c>
    </row>
    <row r="1226" spans="4:20" x14ac:dyDescent="0.25">
      <c r="D1226" s="38" t="str">
        <f t="shared" si="76"/>
        <v/>
      </c>
      <c r="E1226" s="38" t="str">
        <f t="shared" si="77"/>
        <v/>
      </c>
      <c r="G1226" s="1"/>
      <c r="L1226" s="39" t="str">
        <f t="shared" si="78"/>
        <v/>
      </c>
      <c r="T1226" s="39" t="str">
        <f t="shared" si="79"/>
        <v/>
      </c>
    </row>
    <row r="1227" spans="4:20" x14ac:dyDescent="0.25">
      <c r="D1227" s="38" t="str">
        <f t="shared" si="76"/>
        <v/>
      </c>
      <c r="E1227" s="38" t="str">
        <f t="shared" si="77"/>
        <v/>
      </c>
      <c r="G1227" s="1"/>
      <c r="L1227" s="39" t="str">
        <f t="shared" si="78"/>
        <v/>
      </c>
      <c r="T1227" s="39" t="str">
        <f t="shared" si="79"/>
        <v/>
      </c>
    </row>
    <row r="1228" spans="4:20" x14ac:dyDescent="0.25">
      <c r="D1228" s="38" t="str">
        <f t="shared" si="76"/>
        <v/>
      </c>
      <c r="E1228" s="38" t="str">
        <f t="shared" si="77"/>
        <v/>
      </c>
      <c r="G1228" s="1"/>
      <c r="L1228" s="39" t="str">
        <f t="shared" si="78"/>
        <v/>
      </c>
      <c r="T1228" s="39" t="str">
        <f t="shared" si="79"/>
        <v/>
      </c>
    </row>
    <row r="1229" spans="4:20" x14ac:dyDescent="0.25">
      <c r="D1229" s="38" t="str">
        <f t="shared" si="76"/>
        <v/>
      </c>
      <c r="E1229" s="38" t="str">
        <f t="shared" si="77"/>
        <v/>
      </c>
      <c r="G1229" s="1"/>
      <c r="L1229" s="39" t="str">
        <f t="shared" si="78"/>
        <v/>
      </c>
      <c r="T1229" s="39" t="str">
        <f t="shared" si="79"/>
        <v/>
      </c>
    </row>
    <row r="1230" spans="4:20" x14ac:dyDescent="0.25">
      <c r="D1230" s="38" t="str">
        <f t="shared" si="76"/>
        <v/>
      </c>
      <c r="E1230" s="38" t="str">
        <f t="shared" si="77"/>
        <v/>
      </c>
      <c r="G1230" s="1"/>
      <c r="L1230" s="39" t="str">
        <f t="shared" si="78"/>
        <v/>
      </c>
      <c r="T1230" s="39" t="str">
        <f t="shared" si="79"/>
        <v/>
      </c>
    </row>
    <row r="1231" spans="4:20" x14ac:dyDescent="0.25">
      <c r="D1231" s="38" t="str">
        <f t="shared" si="76"/>
        <v/>
      </c>
      <c r="E1231" s="38" t="str">
        <f t="shared" si="77"/>
        <v/>
      </c>
      <c r="G1231" s="1"/>
      <c r="L1231" s="39" t="str">
        <f t="shared" si="78"/>
        <v/>
      </c>
      <c r="T1231" s="39" t="str">
        <f t="shared" si="79"/>
        <v/>
      </c>
    </row>
    <row r="1232" spans="4:20" x14ac:dyDescent="0.25">
      <c r="D1232" s="38" t="str">
        <f t="shared" si="76"/>
        <v/>
      </c>
      <c r="E1232" s="38" t="str">
        <f t="shared" si="77"/>
        <v/>
      </c>
      <c r="G1232" s="1"/>
      <c r="L1232" s="39" t="str">
        <f t="shared" si="78"/>
        <v/>
      </c>
      <c r="T1232" s="39" t="str">
        <f t="shared" si="79"/>
        <v/>
      </c>
    </row>
    <row r="1233" spans="4:20" x14ac:dyDescent="0.25">
      <c r="D1233" s="38" t="str">
        <f t="shared" si="76"/>
        <v/>
      </c>
      <c r="E1233" s="38" t="str">
        <f t="shared" si="77"/>
        <v/>
      </c>
      <c r="G1233" s="1"/>
      <c r="L1233" s="39" t="str">
        <f t="shared" si="78"/>
        <v/>
      </c>
      <c r="T1233" s="39" t="str">
        <f t="shared" si="79"/>
        <v/>
      </c>
    </row>
    <row r="1234" spans="4:20" x14ac:dyDescent="0.25">
      <c r="D1234" s="38" t="str">
        <f t="shared" si="76"/>
        <v/>
      </c>
      <c r="E1234" s="38" t="str">
        <f t="shared" si="77"/>
        <v/>
      </c>
      <c r="G1234" s="1"/>
      <c r="L1234" s="39" t="str">
        <f t="shared" si="78"/>
        <v/>
      </c>
      <c r="T1234" s="39" t="str">
        <f t="shared" si="79"/>
        <v/>
      </c>
    </row>
    <row r="1235" spans="4:20" x14ac:dyDescent="0.25">
      <c r="D1235" s="38" t="str">
        <f t="shared" si="76"/>
        <v/>
      </c>
      <c r="E1235" s="38" t="str">
        <f t="shared" si="77"/>
        <v/>
      </c>
      <c r="G1235" s="1"/>
      <c r="L1235" s="39" t="str">
        <f t="shared" si="78"/>
        <v/>
      </c>
      <c r="T1235" s="39" t="str">
        <f t="shared" si="79"/>
        <v/>
      </c>
    </row>
    <row r="1236" spans="4:20" x14ac:dyDescent="0.25">
      <c r="D1236" s="38" t="str">
        <f t="shared" si="76"/>
        <v/>
      </c>
      <c r="E1236" s="38" t="str">
        <f t="shared" si="77"/>
        <v/>
      </c>
      <c r="G1236" s="1"/>
      <c r="L1236" s="39" t="str">
        <f t="shared" si="78"/>
        <v/>
      </c>
      <c r="T1236" s="39" t="str">
        <f t="shared" si="79"/>
        <v/>
      </c>
    </row>
    <row r="1237" spans="4:20" x14ac:dyDescent="0.25">
      <c r="D1237" s="38" t="str">
        <f t="shared" si="76"/>
        <v/>
      </c>
      <c r="E1237" s="38" t="str">
        <f t="shared" si="77"/>
        <v/>
      </c>
      <c r="G1237" s="1"/>
      <c r="L1237" s="39" t="str">
        <f t="shared" si="78"/>
        <v/>
      </c>
      <c r="T1237" s="39" t="str">
        <f t="shared" si="79"/>
        <v/>
      </c>
    </row>
    <row r="1238" spans="4:20" x14ac:dyDescent="0.25">
      <c r="D1238" s="38" t="str">
        <f t="shared" si="76"/>
        <v/>
      </c>
      <c r="E1238" s="38" t="str">
        <f t="shared" si="77"/>
        <v/>
      </c>
      <c r="G1238" s="1"/>
      <c r="L1238" s="39" t="str">
        <f t="shared" si="78"/>
        <v/>
      </c>
      <c r="T1238" s="39" t="str">
        <f t="shared" si="79"/>
        <v/>
      </c>
    </row>
    <row r="1239" spans="4:20" x14ac:dyDescent="0.25">
      <c r="D1239" s="38" t="str">
        <f t="shared" si="76"/>
        <v/>
      </c>
      <c r="E1239" s="38" t="str">
        <f t="shared" si="77"/>
        <v/>
      </c>
      <c r="G1239" s="1"/>
      <c r="L1239" s="39" t="str">
        <f t="shared" si="78"/>
        <v/>
      </c>
      <c r="T1239" s="39" t="str">
        <f t="shared" si="79"/>
        <v/>
      </c>
    </row>
    <row r="1240" spans="4:20" x14ac:dyDescent="0.25">
      <c r="D1240" s="38" t="str">
        <f t="shared" si="76"/>
        <v/>
      </c>
      <c r="E1240" s="38" t="str">
        <f t="shared" si="77"/>
        <v/>
      </c>
      <c r="G1240" s="1"/>
      <c r="L1240" s="39" t="str">
        <f t="shared" si="78"/>
        <v/>
      </c>
      <c r="T1240" s="39" t="str">
        <f t="shared" si="79"/>
        <v/>
      </c>
    </row>
    <row r="1241" spans="4:20" x14ac:dyDescent="0.25">
      <c r="D1241" s="38" t="str">
        <f t="shared" si="76"/>
        <v/>
      </c>
      <c r="E1241" s="38" t="str">
        <f t="shared" si="77"/>
        <v/>
      </c>
      <c r="G1241" s="1"/>
      <c r="L1241" s="39" t="str">
        <f t="shared" si="78"/>
        <v/>
      </c>
      <c r="T1241" s="39" t="str">
        <f t="shared" si="79"/>
        <v/>
      </c>
    </row>
    <row r="1242" spans="4:20" x14ac:dyDescent="0.25">
      <c r="D1242" s="38" t="str">
        <f t="shared" si="76"/>
        <v/>
      </c>
      <c r="E1242" s="38" t="str">
        <f t="shared" si="77"/>
        <v/>
      </c>
      <c r="G1242" s="1"/>
      <c r="L1242" s="39" t="str">
        <f t="shared" si="78"/>
        <v/>
      </c>
      <c r="T1242" s="39" t="str">
        <f t="shared" si="79"/>
        <v/>
      </c>
    </row>
    <row r="1243" spans="4:20" x14ac:dyDescent="0.25">
      <c r="D1243" s="38" t="str">
        <f t="shared" si="76"/>
        <v/>
      </c>
      <c r="E1243" s="38" t="str">
        <f t="shared" si="77"/>
        <v/>
      </c>
      <c r="G1243" s="1"/>
      <c r="L1243" s="39" t="str">
        <f t="shared" si="78"/>
        <v/>
      </c>
      <c r="T1243" s="39" t="str">
        <f t="shared" si="79"/>
        <v/>
      </c>
    </row>
    <row r="1244" spans="4:20" x14ac:dyDescent="0.25">
      <c r="D1244" s="38" t="str">
        <f t="shared" si="76"/>
        <v/>
      </c>
      <c r="E1244" s="38" t="str">
        <f t="shared" si="77"/>
        <v/>
      </c>
      <c r="G1244" s="1"/>
      <c r="L1244" s="39" t="str">
        <f t="shared" si="78"/>
        <v/>
      </c>
      <c r="T1244" s="39" t="str">
        <f t="shared" si="79"/>
        <v/>
      </c>
    </row>
    <row r="1245" spans="4:20" x14ac:dyDescent="0.25">
      <c r="D1245" s="38" t="str">
        <f t="shared" si="76"/>
        <v/>
      </c>
      <c r="E1245" s="38" t="str">
        <f t="shared" si="77"/>
        <v/>
      </c>
      <c r="G1245" s="1"/>
      <c r="L1245" s="39" t="str">
        <f t="shared" si="78"/>
        <v/>
      </c>
      <c r="T1245" s="39" t="str">
        <f t="shared" si="79"/>
        <v/>
      </c>
    </row>
    <row r="1246" spans="4:20" x14ac:dyDescent="0.25">
      <c r="D1246" s="38" t="str">
        <f t="shared" si="76"/>
        <v/>
      </c>
      <c r="E1246" s="38" t="str">
        <f t="shared" si="77"/>
        <v/>
      </c>
      <c r="G1246" s="1"/>
      <c r="L1246" s="39" t="str">
        <f t="shared" si="78"/>
        <v/>
      </c>
      <c r="T1246" s="39" t="str">
        <f t="shared" si="79"/>
        <v/>
      </c>
    </row>
    <row r="1247" spans="4:20" x14ac:dyDescent="0.25">
      <c r="D1247" s="38" t="str">
        <f t="shared" si="76"/>
        <v/>
      </c>
      <c r="E1247" s="38" t="str">
        <f t="shared" si="77"/>
        <v/>
      </c>
      <c r="G1247" s="1"/>
      <c r="L1247" s="39" t="str">
        <f t="shared" si="78"/>
        <v/>
      </c>
      <c r="T1247" s="39" t="str">
        <f t="shared" si="79"/>
        <v/>
      </c>
    </row>
    <row r="1248" spans="4:20" x14ac:dyDescent="0.25">
      <c r="D1248" s="38" t="str">
        <f t="shared" si="76"/>
        <v/>
      </c>
      <c r="E1248" s="38" t="str">
        <f t="shared" si="77"/>
        <v/>
      </c>
      <c r="G1248" s="1"/>
      <c r="L1248" s="39" t="str">
        <f t="shared" si="78"/>
        <v/>
      </c>
      <c r="T1248" s="39" t="str">
        <f t="shared" si="79"/>
        <v/>
      </c>
    </row>
    <row r="1249" spans="4:20" x14ac:dyDescent="0.25">
      <c r="D1249" s="38" t="str">
        <f t="shared" si="76"/>
        <v/>
      </c>
      <c r="E1249" s="38" t="str">
        <f t="shared" si="77"/>
        <v/>
      </c>
      <c r="G1249" s="1"/>
      <c r="L1249" s="39" t="str">
        <f t="shared" si="78"/>
        <v/>
      </c>
      <c r="T1249" s="39" t="str">
        <f t="shared" si="79"/>
        <v/>
      </c>
    </row>
    <row r="1250" spans="4:20" x14ac:dyDescent="0.25">
      <c r="D1250" s="38" t="str">
        <f t="shared" si="76"/>
        <v/>
      </c>
      <c r="E1250" s="38" t="str">
        <f t="shared" si="77"/>
        <v/>
      </c>
      <c r="G1250" s="1"/>
      <c r="L1250" s="39" t="str">
        <f t="shared" si="78"/>
        <v/>
      </c>
      <c r="T1250" s="39" t="str">
        <f t="shared" si="79"/>
        <v/>
      </c>
    </row>
    <row r="1251" spans="4:20" x14ac:dyDescent="0.25">
      <c r="D1251" s="38" t="str">
        <f t="shared" si="76"/>
        <v/>
      </c>
      <c r="E1251" s="38" t="str">
        <f t="shared" si="77"/>
        <v/>
      </c>
      <c r="G1251" s="1"/>
      <c r="L1251" s="39" t="str">
        <f t="shared" si="78"/>
        <v/>
      </c>
      <c r="T1251" s="39" t="str">
        <f t="shared" si="79"/>
        <v/>
      </c>
    </row>
    <row r="1252" spans="4:20" x14ac:dyDescent="0.25">
      <c r="D1252" s="38" t="str">
        <f t="shared" si="76"/>
        <v/>
      </c>
      <c r="E1252" s="38" t="str">
        <f t="shared" si="77"/>
        <v/>
      </c>
      <c r="G1252" s="1"/>
      <c r="L1252" s="39" t="str">
        <f t="shared" si="78"/>
        <v/>
      </c>
      <c r="T1252" s="39" t="str">
        <f t="shared" si="79"/>
        <v/>
      </c>
    </row>
    <row r="1253" spans="4:20" x14ac:dyDescent="0.25">
      <c r="D1253" s="38" t="str">
        <f t="shared" si="76"/>
        <v/>
      </c>
      <c r="E1253" s="38" t="str">
        <f t="shared" si="77"/>
        <v/>
      </c>
      <c r="G1253" s="1"/>
      <c r="L1253" s="39" t="str">
        <f t="shared" si="78"/>
        <v/>
      </c>
      <c r="T1253" s="39" t="str">
        <f t="shared" si="79"/>
        <v/>
      </c>
    </row>
    <row r="1254" spans="4:20" x14ac:dyDescent="0.25">
      <c r="D1254" s="38" t="str">
        <f t="shared" si="76"/>
        <v/>
      </c>
      <c r="E1254" s="38" t="str">
        <f t="shared" si="77"/>
        <v/>
      </c>
      <c r="G1254" s="1"/>
      <c r="L1254" s="39" t="str">
        <f t="shared" si="78"/>
        <v/>
      </c>
      <c r="T1254" s="39" t="str">
        <f t="shared" si="79"/>
        <v/>
      </c>
    </row>
    <row r="1255" spans="4:20" x14ac:dyDescent="0.25">
      <c r="D1255" s="38" t="str">
        <f t="shared" si="76"/>
        <v/>
      </c>
      <c r="E1255" s="38" t="str">
        <f t="shared" si="77"/>
        <v/>
      </c>
      <c r="G1255" s="1"/>
      <c r="L1255" s="39" t="str">
        <f t="shared" si="78"/>
        <v/>
      </c>
      <c r="T1255" s="39" t="str">
        <f t="shared" si="79"/>
        <v/>
      </c>
    </row>
    <row r="1256" spans="4:20" x14ac:dyDescent="0.25">
      <c r="D1256" s="38" t="str">
        <f t="shared" si="76"/>
        <v/>
      </c>
      <c r="E1256" s="38" t="str">
        <f t="shared" si="77"/>
        <v/>
      </c>
      <c r="G1256" s="1"/>
      <c r="L1256" s="39" t="str">
        <f t="shared" si="78"/>
        <v/>
      </c>
      <c r="T1256" s="39" t="str">
        <f t="shared" si="79"/>
        <v/>
      </c>
    </row>
    <row r="1257" spans="4:20" x14ac:dyDescent="0.25">
      <c r="D1257" s="38" t="str">
        <f t="shared" si="76"/>
        <v/>
      </c>
      <c r="E1257" s="38" t="str">
        <f t="shared" si="77"/>
        <v/>
      </c>
      <c r="G1257" s="1"/>
      <c r="L1257" s="39" t="str">
        <f t="shared" si="78"/>
        <v/>
      </c>
      <c r="T1257" s="39" t="str">
        <f t="shared" si="79"/>
        <v/>
      </c>
    </row>
    <row r="1258" spans="4:20" x14ac:dyDescent="0.25">
      <c r="D1258" s="38" t="str">
        <f t="shared" si="76"/>
        <v/>
      </c>
      <c r="E1258" s="38" t="str">
        <f t="shared" si="77"/>
        <v/>
      </c>
      <c r="G1258" s="1"/>
      <c r="L1258" s="39" t="str">
        <f t="shared" si="78"/>
        <v/>
      </c>
      <c r="T1258" s="39" t="str">
        <f t="shared" si="79"/>
        <v/>
      </c>
    </row>
    <row r="1259" spans="4:20" x14ac:dyDescent="0.25">
      <c r="D1259" s="38" t="str">
        <f t="shared" si="76"/>
        <v/>
      </c>
      <c r="E1259" s="38" t="str">
        <f t="shared" si="77"/>
        <v/>
      </c>
      <c r="G1259" s="1"/>
      <c r="L1259" s="39" t="str">
        <f t="shared" si="78"/>
        <v/>
      </c>
      <c r="T1259" s="39" t="str">
        <f t="shared" si="79"/>
        <v/>
      </c>
    </row>
    <row r="1260" spans="4:20" x14ac:dyDescent="0.25">
      <c r="D1260" s="38" t="str">
        <f t="shared" si="76"/>
        <v/>
      </c>
      <c r="E1260" s="38" t="str">
        <f t="shared" si="77"/>
        <v/>
      </c>
      <c r="G1260" s="1"/>
      <c r="L1260" s="39" t="str">
        <f t="shared" si="78"/>
        <v/>
      </c>
      <c r="T1260" s="39" t="str">
        <f t="shared" si="79"/>
        <v/>
      </c>
    </row>
    <row r="1261" spans="4:20" x14ac:dyDescent="0.25">
      <c r="D1261" s="38" t="str">
        <f t="shared" si="76"/>
        <v/>
      </c>
      <c r="E1261" s="38" t="str">
        <f t="shared" si="77"/>
        <v/>
      </c>
      <c r="G1261" s="1"/>
      <c r="L1261" s="39" t="str">
        <f t="shared" si="78"/>
        <v/>
      </c>
      <c r="T1261" s="39" t="str">
        <f t="shared" si="79"/>
        <v/>
      </c>
    </row>
    <row r="1262" spans="4:20" x14ac:dyDescent="0.25">
      <c r="D1262" s="38" t="str">
        <f t="shared" si="76"/>
        <v/>
      </c>
      <c r="E1262" s="38" t="str">
        <f t="shared" si="77"/>
        <v/>
      </c>
      <c r="G1262" s="1"/>
      <c r="L1262" s="39" t="str">
        <f t="shared" si="78"/>
        <v/>
      </c>
      <c r="T1262" s="39" t="str">
        <f t="shared" si="79"/>
        <v/>
      </c>
    </row>
    <row r="1263" spans="4:20" x14ac:dyDescent="0.25">
      <c r="D1263" s="38" t="str">
        <f t="shared" si="76"/>
        <v/>
      </c>
      <c r="E1263" s="38" t="str">
        <f t="shared" si="77"/>
        <v/>
      </c>
      <c r="G1263" s="1"/>
      <c r="L1263" s="39" t="str">
        <f t="shared" si="78"/>
        <v/>
      </c>
      <c r="T1263" s="39" t="str">
        <f t="shared" si="79"/>
        <v/>
      </c>
    </row>
    <row r="1264" spans="4:20" x14ac:dyDescent="0.25">
      <c r="D1264" s="38" t="str">
        <f t="shared" si="76"/>
        <v/>
      </c>
      <c r="E1264" s="38" t="str">
        <f t="shared" si="77"/>
        <v/>
      </c>
      <c r="G1264" s="1"/>
      <c r="L1264" s="39" t="str">
        <f t="shared" si="78"/>
        <v/>
      </c>
      <c r="T1264" s="39" t="str">
        <f t="shared" si="79"/>
        <v/>
      </c>
    </row>
    <row r="1265" spans="4:20" x14ac:dyDescent="0.25">
      <c r="D1265" s="38" t="str">
        <f t="shared" si="76"/>
        <v/>
      </c>
      <c r="E1265" s="38" t="str">
        <f t="shared" si="77"/>
        <v/>
      </c>
      <c r="G1265" s="1"/>
      <c r="L1265" s="39" t="str">
        <f t="shared" si="78"/>
        <v/>
      </c>
      <c r="T1265" s="39" t="str">
        <f t="shared" si="79"/>
        <v/>
      </c>
    </row>
    <row r="1266" spans="4:20" x14ac:dyDescent="0.25">
      <c r="D1266" s="38" t="str">
        <f t="shared" si="76"/>
        <v/>
      </c>
      <c r="E1266" s="38" t="str">
        <f t="shared" si="77"/>
        <v/>
      </c>
      <c r="G1266" s="1"/>
      <c r="L1266" s="39" t="str">
        <f t="shared" si="78"/>
        <v/>
      </c>
      <c r="T1266" s="39" t="str">
        <f t="shared" si="79"/>
        <v/>
      </c>
    </row>
    <row r="1267" spans="4:20" x14ac:dyDescent="0.25">
      <c r="D1267" s="38" t="str">
        <f t="shared" si="76"/>
        <v/>
      </c>
      <c r="E1267" s="38" t="str">
        <f t="shared" si="77"/>
        <v/>
      </c>
      <c r="G1267" s="1"/>
      <c r="L1267" s="39" t="str">
        <f t="shared" si="78"/>
        <v/>
      </c>
      <c r="T1267" s="39" t="str">
        <f t="shared" si="79"/>
        <v/>
      </c>
    </row>
    <row r="1268" spans="4:20" x14ac:dyDescent="0.25">
      <c r="D1268" s="38" t="str">
        <f t="shared" si="76"/>
        <v/>
      </c>
      <c r="E1268" s="38" t="str">
        <f t="shared" si="77"/>
        <v/>
      </c>
      <c r="G1268" s="1"/>
      <c r="L1268" s="39" t="str">
        <f t="shared" si="78"/>
        <v/>
      </c>
      <c r="T1268" s="39" t="str">
        <f t="shared" si="79"/>
        <v/>
      </c>
    </row>
    <row r="1269" spans="4:20" x14ac:dyDescent="0.25">
      <c r="D1269" s="38" t="str">
        <f t="shared" si="76"/>
        <v/>
      </c>
      <c r="E1269" s="38" t="str">
        <f t="shared" si="77"/>
        <v/>
      </c>
      <c r="G1269" s="1"/>
      <c r="L1269" s="39" t="str">
        <f t="shared" si="78"/>
        <v/>
      </c>
      <c r="T1269" s="39" t="str">
        <f t="shared" si="79"/>
        <v/>
      </c>
    </row>
    <row r="1270" spans="4:20" x14ac:dyDescent="0.25">
      <c r="D1270" s="38" t="str">
        <f t="shared" si="76"/>
        <v/>
      </c>
      <c r="E1270" s="38" t="str">
        <f t="shared" si="77"/>
        <v/>
      </c>
      <c r="G1270" s="1"/>
      <c r="L1270" s="39" t="str">
        <f t="shared" si="78"/>
        <v/>
      </c>
      <c r="T1270" s="39" t="str">
        <f t="shared" si="79"/>
        <v/>
      </c>
    </row>
    <row r="1271" spans="4:20" x14ac:dyDescent="0.25">
      <c r="D1271" s="38" t="str">
        <f t="shared" si="76"/>
        <v/>
      </c>
      <c r="E1271" s="38" t="str">
        <f t="shared" si="77"/>
        <v/>
      </c>
      <c r="G1271" s="1"/>
      <c r="L1271" s="39" t="str">
        <f t="shared" si="78"/>
        <v/>
      </c>
      <c r="T1271" s="39" t="str">
        <f t="shared" si="79"/>
        <v/>
      </c>
    </row>
    <row r="1272" spans="4:20" x14ac:dyDescent="0.25">
      <c r="D1272" s="38" t="str">
        <f t="shared" si="76"/>
        <v/>
      </c>
      <c r="E1272" s="38" t="str">
        <f t="shared" si="77"/>
        <v/>
      </c>
      <c r="G1272" s="1"/>
      <c r="L1272" s="39" t="str">
        <f t="shared" si="78"/>
        <v/>
      </c>
      <c r="T1272" s="39" t="str">
        <f t="shared" si="79"/>
        <v/>
      </c>
    </row>
    <row r="1273" spans="4:20" x14ac:dyDescent="0.25">
      <c r="D1273" s="38" t="str">
        <f t="shared" si="76"/>
        <v/>
      </c>
      <c r="E1273" s="38" t="str">
        <f t="shared" si="77"/>
        <v/>
      </c>
      <c r="G1273" s="1"/>
      <c r="L1273" s="39" t="str">
        <f t="shared" si="78"/>
        <v/>
      </c>
      <c r="T1273" s="39" t="str">
        <f t="shared" si="79"/>
        <v/>
      </c>
    </row>
    <row r="1274" spans="4:20" x14ac:dyDescent="0.25">
      <c r="D1274" s="38" t="str">
        <f t="shared" si="76"/>
        <v/>
      </c>
      <c r="E1274" s="38" t="str">
        <f t="shared" si="77"/>
        <v/>
      </c>
      <c r="G1274" s="1"/>
      <c r="L1274" s="39" t="str">
        <f t="shared" si="78"/>
        <v/>
      </c>
      <c r="T1274" s="39" t="str">
        <f t="shared" si="79"/>
        <v/>
      </c>
    </row>
    <row r="1275" spans="4:20" x14ac:dyDescent="0.25">
      <c r="D1275" s="38" t="str">
        <f t="shared" si="76"/>
        <v/>
      </c>
      <c r="E1275" s="38" t="str">
        <f t="shared" si="77"/>
        <v/>
      </c>
      <c r="G1275" s="1"/>
      <c r="L1275" s="39" t="str">
        <f t="shared" si="78"/>
        <v/>
      </c>
      <c r="T1275" s="39" t="str">
        <f t="shared" si="79"/>
        <v/>
      </c>
    </row>
    <row r="1276" spans="4:20" x14ac:dyDescent="0.25">
      <c r="D1276" s="38" t="str">
        <f t="shared" si="76"/>
        <v/>
      </c>
      <c r="E1276" s="38" t="str">
        <f t="shared" si="77"/>
        <v/>
      </c>
      <c r="G1276" s="1"/>
      <c r="L1276" s="39" t="str">
        <f t="shared" si="78"/>
        <v/>
      </c>
      <c r="T1276" s="39" t="str">
        <f t="shared" si="79"/>
        <v/>
      </c>
    </row>
    <row r="1277" spans="4:20" x14ac:dyDescent="0.25">
      <c r="D1277" s="38" t="str">
        <f t="shared" si="76"/>
        <v/>
      </c>
      <c r="E1277" s="38" t="str">
        <f t="shared" si="77"/>
        <v/>
      </c>
      <c r="G1277" s="1"/>
      <c r="L1277" s="39" t="str">
        <f t="shared" si="78"/>
        <v/>
      </c>
      <c r="T1277" s="39" t="str">
        <f t="shared" si="79"/>
        <v/>
      </c>
    </row>
    <row r="1278" spans="4:20" x14ac:dyDescent="0.25">
      <c r="D1278" s="38" t="str">
        <f t="shared" si="76"/>
        <v/>
      </c>
      <c r="E1278" s="38" t="str">
        <f t="shared" si="77"/>
        <v/>
      </c>
      <c r="G1278" s="1"/>
      <c r="L1278" s="39" t="str">
        <f t="shared" si="78"/>
        <v/>
      </c>
      <c r="T1278" s="39" t="str">
        <f t="shared" si="79"/>
        <v/>
      </c>
    </row>
    <row r="1279" spans="4:20" x14ac:dyDescent="0.25">
      <c r="D1279" s="38" t="str">
        <f t="shared" si="76"/>
        <v/>
      </c>
      <c r="E1279" s="38" t="str">
        <f t="shared" si="77"/>
        <v/>
      </c>
      <c r="G1279" s="1"/>
      <c r="L1279" s="39" t="str">
        <f t="shared" si="78"/>
        <v/>
      </c>
      <c r="T1279" s="39" t="str">
        <f t="shared" si="79"/>
        <v/>
      </c>
    </row>
    <row r="1280" spans="4:20" x14ac:dyDescent="0.25">
      <c r="D1280" s="38" t="str">
        <f t="shared" si="76"/>
        <v/>
      </c>
      <c r="E1280" s="38" t="str">
        <f t="shared" si="77"/>
        <v/>
      </c>
      <c r="G1280" s="1"/>
      <c r="L1280" s="39" t="str">
        <f t="shared" si="78"/>
        <v/>
      </c>
      <c r="T1280" s="39" t="str">
        <f t="shared" si="79"/>
        <v/>
      </c>
    </row>
    <row r="1281" spans="4:20" x14ac:dyDescent="0.25">
      <c r="D1281" s="38" t="str">
        <f t="shared" si="76"/>
        <v/>
      </c>
      <c r="E1281" s="38" t="str">
        <f t="shared" si="77"/>
        <v/>
      </c>
      <c r="G1281" s="1"/>
      <c r="L1281" s="39" t="str">
        <f t="shared" si="78"/>
        <v/>
      </c>
      <c r="T1281" s="39" t="str">
        <f t="shared" si="79"/>
        <v/>
      </c>
    </row>
    <row r="1282" spans="4:20" x14ac:dyDescent="0.25">
      <c r="D1282" s="38" t="str">
        <f t="shared" ref="D1282:D1345" si="80">IF($B1282="", "", CHOOSE(MONTH($B1282), "Gennaio","Febbraio","Marzo","Aprile","Maggio","Giugno","Luglio","Agosto","Settembre","Ottobre","Novembre","Dicembre"))</f>
        <v/>
      </c>
      <c r="E1282" s="38" t="str">
        <f t="shared" ref="E1282:E1345" si="81">IF($B1282="", "", CHOOSE(WEEKDAY($B1282,2), "Lunedì","Martedì","Mercoledì","Giovedì","Venerdì","Sabato","Domenica"))</f>
        <v/>
      </c>
      <c r="G1282" s="1"/>
      <c r="L1282" s="39" t="str">
        <f t="shared" ref="L1282:L1345" si="82">IF($K1282="Target", $G1282*$H1282, IF($K1282="Stop Loss", -$G1282, IF($K1282="Breakeven", 0, "")))</f>
        <v/>
      </c>
      <c r="T1282" s="39" t="str">
        <f t="shared" si="79"/>
        <v/>
      </c>
    </row>
    <row r="1283" spans="4:20" x14ac:dyDescent="0.25">
      <c r="D1283" s="38" t="str">
        <f t="shared" si="80"/>
        <v/>
      </c>
      <c r="E1283" s="38" t="str">
        <f t="shared" si="81"/>
        <v/>
      </c>
      <c r="G1283" s="1"/>
      <c r="L1283" s="39" t="str">
        <f t="shared" si="82"/>
        <v/>
      </c>
      <c r="T1283" s="39" t="str">
        <f t="shared" ref="T1283:T1346" si="83">IF($L1283="", "", $T1282 + $L1283)</f>
        <v/>
      </c>
    </row>
    <row r="1284" spans="4:20" x14ac:dyDescent="0.25">
      <c r="D1284" s="38" t="str">
        <f t="shared" si="80"/>
        <v/>
      </c>
      <c r="E1284" s="38" t="str">
        <f t="shared" si="81"/>
        <v/>
      </c>
      <c r="G1284" s="1"/>
      <c r="L1284" s="39" t="str">
        <f t="shared" si="82"/>
        <v/>
      </c>
      <c r="T1284" s="39" t="str">
        <f t="shared" si="83"/>
        <v/>
      </c>
    </row>
    <row r="1285" spans="4:20" x14ac:dyDescent="0.25">
      <c r="D1285" s="38" t="str">
        <f t="shared" si="80"/>
        <v/>
      </c>
      <c r="E1285" s="38" t="str">
        <f t="shared" si="81"/>
        <v/>
      </c>
      <c r="G1285" s="1"/>
      <c r="L1285" s="39" t="str">
        <f t="shared" si="82"/>
        <v/>
      </c>
      <c r="T1285" s="39" t="str">
        <f t="shared" si="83"/>
        <v/>
      </c>
    </row>
    <row r="1286" spans="4:20" x14ac:dyDescent="0.25">
      <c r="D1286" s="38" t="str">
        <f t="shared" si="80"/>
        <v/>
      </c>
      <c r="E1286" s="38" t="str">
        <f t="shared" si="81"/>
        <v/>
      </c>
      <c r="G1286" s="1"/>
      <c r="L1286" s="39" t="str">
        <f t="shared" si="82"/>
        <v/>
      </c>
      <c r="T1286" s="39" t="str">
        <f t="shared" si="83"/>
        <v/>
      </c>
    </row>
    <row r="1287" spans="4:20" x14ac:dyDescent="0.25">
      <c r="D1287" s="38" t="str">
        <f t="shared" si="80"/>
        <v/>
      </c>
      <c r="E1287" s="38" t="str">
        <f t="shared" si="81"/>
        <v/>
      </c>
      <c r="G1287" s="1"/>
      <c r="L1287" s="39" t="str">
        <f t="shared" si="82"/>
        <v/>
      </c>
      <c r="T1287" s="39" t="str">
        <f t="shared" si="83"/>
        <v/>
      </c>
    </row>
    <row r="1288" spans="4:20" x14ac:dyDescent="0.25">
      <c r="D1288" s="38" t="str">
        <f t="shared" si="80"/>
        <v/>
      </c>
      <c r="E1288" s="38" t="str">
        <f t="shared" si="81"/>
        <v/>
      </c>
      <c r="G1288" s="1"/>
      <c r="L1288" s="39" t="str">
        <f t="shared" si="82"/>
        <v/>
      </c>
      <c r="T1288" s="39" t="str">
        <f t="shared" si="83"/>
        <v/>
      </c>
    </row>
    <row r="1289" spans="4:20" x14ac:dyDescent="0.25">
      <c r="D1289" s="38" t="str">
        <f t="shared" si="80"/>
        <v/>
      </c>
      <c r="E1289" s="38" t="str">
        <f t="shared" si="81"/>
        <v/>
      </c>
      <c r="G1289" s="1"/>
      <c r="L1289" s="39" t="str">
        <f t="shared" si="82"/>
        <v/>
      </c>
      <c r="T1289" s="39" t="str">
        <f t="shared" si="83"/>
        <v/>
      </c>
    </row>
    <row r="1290" spans="4:20" x14ac:dyDescent="0.25">
      <c r="D1290" s="38" t="str">
        <f t="shared" si="80"/>
        <v/>
      </c>
      <c r="E1290" s="38" t="str">
        <f t="shared" si="81"/>
        <v/>
      </c>
      <c r="G1290" s="1"/>
      <c r="L1290" s="39" t="str">
        <f t="shared" si="82"/>
        <v/>
      </c>
      <c r="T1290" s="39" t="str">
        <f t="shared" si="83"/>
        <v/>
      </c>
    </row>
    <row r="1291" spans="4:20" x14ac:dyDescent="0.25">
      <c r="D1291" s="38" t="str">
        <f t="shared" si="80"/>
        <v/>
      </c>
      <c r="E1291" s="38" t="str">
        <f t="shared" si="81"/>
        <v/>
      </c>
      <c r="G1291" s="1"/>
      <c r="L1291" s="39" t="str">
        <f t="shared" si="82"/>
        <v/>
      </c>
      <c r="T1291" s="39" t="str">
        <f t="shared" si="83"/>
        <v/>
      </c>
    </row>
    <row r="1292" spans="4:20" x14ac:dyDescent="0.25">
      <c r="D1292" s="38" t="str">
        <f t="shared" si="80"/>
        <v/>
      </c>
      <c r="E1292" s="38" t="str">
        <f t="shared" si="81"/>
        <v/>
      </c>
      <c r="G1292" s="1"/>
      <c r="L1292" s="39" t="str">
        <f t="shared" si="82"/>
        <v/>
      </c>
      <c r="T1292" s="39" t="str">
        <f t="shared" si="83"/>
        <v/>
      </c>
    </row>
    <row r="1293" spans="4:20" x14ac:dyDescent="0.25">
      <c r="D1293" s="38" t="str">
        <f t="shared" si="80"/>
        <v/>
      </c>
      <c r="E1293" s="38" t="str">
        <f t="shared" si="81"/>
        <v/>
      </c>
      <c r="G1293" s="1"/>
      <c r="L1293" s="39" t="str">
        <f t="shared" si="82"/>
        <v/>
      </c>
      <c r="T1293" s="39" t="str">
        <f t="shared" si="83"/>
        <v/>
      </c>
    </row>
    <row r="1294" spans="4:20" x14ac:dyDescent="0.25">
      <c r="D1294" s="38" t="str">
        <f t="shared" si="80"/>
        <v/>
      </c>
      <c r="E1294" s="38" t="str">
        <f t="shared" si="81"/>
        <v/>
      </c>
      <c r="G1294" s="1"/>
      <c r="L1294" s="39" t="str">
        <f t="shared" si="82"/>
        <v/>
      </c>
      <c r="T1294" s="39" t="str">
        <f t="shared" si="83"/>
        <v/>
      </c>
    </row>
    <row r="1295" spans="4:20" x14ac:dyDescent="0.25">
      <c r="D1295" s="38" t="str">
        <f t="shared" si="80"/>
        <v/>
      </c>
      <c r="E1295" s="38" t="str">
        <f t="shared" si="81"/>
        <v/>
      </c>
      <c r="G1295" s="1"/>
      <c r="L1295" s="39" t="str">
        <f t="shared" si="82"/>
        <v/>
      </c>
      <c r="T1295" s="39" t="str">
        <f t="shared" si="83"/>
        <v/>
      </c>
    </row>
    <row r="1296" spans="4:20" x14ac:dyDescent="0.25">
      <c r="D1296" s="38" t="str">
        <f t="shared" si="80"/>
        <v/>
      </c>
      <c r="E1296" s="38" t="str">
        <f t="shared" si="81"/>
        <v/>
      </c>
      <c r="G1296" s="1"/>
      <c r="L1296" s="39" t="str">
        <f t="shared" si="82"/>
        <v/>
      </c>
      <c r="T1296" s="39" t="str">
        <f t="shared" si="83"/>
        <v/>
      </c>
    </row>
    <row r="1297" spans="4:20" x14ac:dyDescent="0.25">
      <c r="D1297" s="38" t="str">
        <f t="shared" si="80"/>
        <v/>
      </c>
      <c r="E1297" s="38" t="str">
        <f t="shared" si="81"/>
        <v/>
      </c>
      <c r="G1297" s="1"/>
      <c r="L1297" s="39" t="str">
        <f t="shared" si="82"/>
        <v/>
      </c>
      <c r="T1297" s="39" t="str">
        <f t="shared" si="83"/>
        <v/>
      </c>
    </row>
    <row r="1298" spans="4:20" x14ac:dyDescent="0.25">
      <c r="D1298" s="38" t="str">
        <f t="shared" si="80"/>
        <v/>
      </c>
      <c r="E1298" s="38" t="str">
        <f t="shared" si="81"/>
        <v/>
      </c>
      <c r="G1298" s="1"/>
      <c r="L1298" s="39" t="str">
        <f t="shared" si="82"/>
        <v/>
      </c>
      <c r="T1298" s="39" t="str">
        <f t="shared" si="83"/>
        <v/>
      </c>
    </row>
    <row r="1299" spans="4:20" x14ac:dyDescent="0.25">
      <c r="D1299" s="38" t="str">
        <f t="shared" si="80"/>
        <v/>
      </c>
      <c r="E1299" s="38" t="str">
        <f t="shared" si="81"/>
        <v/>
      </c>
      <c r="G1299" s="1"/>
      <c r="L1299" s="39" t="str">
        <f t="shared" si="82"/>
        <v/>
      </c>
      <c r="T1299" s="39" t="str">
        <f t="shared" si="83"/>
        <v/>
      </c>
    </row>
    <row r="1300" spans="4:20" x14ac:dyDescent="0.25">
      <c r="D1300" s="38" t="str">
        <f t="shared" si="80"/>
        <v/>
      </c>
      <c r="E1300" s="38" t="str">
        <f t="shared" si="81"/>
        <v/>
      </c>
      <c r="G1300" s="1"/>
      <c r="L1300" s="39" t="str">
        <f t="shared" si="82"/>
        <v/>
      </c>
      <c r="T1300" s="39" t="str">
        <f t="shared" si="83"/>
        <v/>
      </c>
    </row>
    <row r="1301" spans="4:20" x14ac:dyDescent="0.25">
      <c r="D1301" s="38" t="str">
        <f t="shared" si="80"/>
        <v/>
      </c>
      <c r="E1301" s="38" t="str">
        <f t="shared" si="81"/>
        <v/>
      </c>
      <c r="G1301" s="1"/>
      <c r="L1301" s="39" t="str">
        <f t="shared" si="82"/>
        <v/>
      </c>
      <c r="T1301" s="39" t="str">
        <f t="shared" si="83"/>
        <v/>
      </c>
    </row>
    <row r="1302" spans="4:20" x14ac:dyDescent="0.25">
      <c r="D1302" s="38" t="str">
        <f t="shared" si="80"/>
        <v/>
      </c>
      <c r="E1302" s="38" t="str">
        <f t="shared" si="81"/>
        <v/>
      </c>
      <c r="G1302" s="1"/>
      <c r="L1302" s="39" t="str">
        <f t="shared" si="82"/>
        <v/>
      </c>
      <c r="T1302" s="39" t="str">
        <f t="shared" si="83"/>
        <v/>
      </c>
    </row>
    <row r="1303" spans="4:20" x14ac:dyDescent="0.25">
      <c r="D1303" s="38" t="str">
        <f t="shared" si="80"/>
        <v/>
      </c>
      <c r="E1303" s="38" t="str">
        <f t="shared" si="81"/>
        <v/>
      </c>
      <c r="G1303" s="1"/>
      <c r="L1303" s="39" t="str">
        <f t="shared" si="82"/>
        <v/>
      </c>
      <c r="T1303" s="39" t="str">
        <f t="shared" si="83"/>
        <v/>
      </c>
    </row>
    <row r="1304" spans="4:20" x14ac:dyDescent="0.25">
      <c r="D1304" s="38" t="str">
        <f t="shared" si="80"/>
        <v/>
      </c>
      <c r="E1304" s="38" t="str">
        <f t="shared" si="81"/>
        <v/>
      </c>
      <c r="G1304" s="1"/>
      <c r="L1304" s="39" t="str">
        <f t="shared" si="82"/>
        <v/>
      </c>
      <c r="T1304" s="39" t="str">
        <f t="shared" si="83"/>
        <v/>
      </c>
    </row>
    <row r="1305" spans="4:20" x14ac:dyDescent="0.25">
      <c r="D1305" s="38" t="str">
        <f t="shared" si="80"/>
        <v/>
      </c>
      <c r="E1305" s="38" t="str">
        <f t="shared" si="81"/>
        <v/>
      </c>
      <c r="G1305" s="1"/>
      <c r="L1305" s="39" t="str">
        <f t="shared" si="82"/>
        <v/>
      </c>
      <c r="T1305" s="39" t="str">
        <f t="shared" si="83"/>
        <v/>
      </c>
    </row>
    <row r="1306" spans="4:20" x14ac:dyDescent="0.25">
      <c r="D1306" s="38" t="str">
        <f t="shared" si="80"/>
        <v/>
      </c>
      <c r="E1306" s="38" t="str">
        <f t="shared" si="81"/>
        <v/>
      </c>
      <c r="G1306" s="1"/>
      <c r="L1306" s="39" t="str">
        <f t="shared" si="82"/>
        <v/>
      </c>
      <c r="T1306" s="39" t="str">
        <f t="shared" si="83"/>
        <v/>
      </c>
    </row>
    <row r="1307" spans="4:20" x14ac:dyDescent="0.25">
      <c r="D1307" s="38" t="str">
        <f t="shared" si="80"/>
        <v/>
      </c>
      <c r="E1307" s="38" t="str">
        <f t="shared" si="81"/>
        <v/>
      </c>
      <c r="G1307" s="1"/>
      <c r="L1307" s="39" t="str">
        <f t="shared" si="82"/>
        <v/>
      </c>
      <c r="T1307" s="39" t="str">
        <f t="shared" si="83"/>
        <v/>
      </c>
    </row>
    <row r="1308" spans="4:20" x14ac:dyDescent="0.25">
      <c r="D1308" s="38" t="str">
        <f t="shared" si="80"/>
        <v/>
      </c>
      <c r="E1308" s="38" t="str">
        <f t="shared" si="81"/>
        <v/>
      </c>
      <c r="G1308" s="1"/>
      <c r="L1308" s="39" t="str">
        <f t="shared" si="82"/>
        <v/>
      </c>
      <c r="T1308" s="39" t="str">
        <f t="shared" si="83"/>
        <v/>
      </c>
    </row>
    <row r="1309" spans="4:20" x14ac:dyDescent="0.25">
      <c r="D1309" s="38" t="str">
        <f t="shared" si="80"/>
        <v/>
      </c>
      <c r="E1309" s="38" t="str">
        <f t="shared" si="81"/>
        <v/>
      </c>
      <c r="G1309" s="1"/>
      <c r="L1309" s="39" t="str">
        <f t="shared" si="82"/>
        <v/>
      </c>
      <c r="T1309" s="39" t="str">
        <f t="shared" si="83"/>
        <v/>
      </c>
    </row>
    <row r="1310" spans="4:20" x14ac:dyDescent="0.25">
      <c r="D1310" s="38" t="str">
        <f t="shared" si="80"/>
        <v/>
      </c>
      <c r="E1310" s="38" t="str">
        <f t="shared" si="81"/>
        <v/>
      </c>
      <c r="G1310" s="1"/>
      <c r="L1310" s="39" t="str">
        <f t="shared" si="82"/>
        <v/>
      </c>
      <c r="T1310" s="39" t="str">
        <f t="shared" si="83"/>
        <v/>
      </c>
    </row>
    <row r="1311" spans="4:20" x14ac:dyDescent="0.25">
      <c r="D1311" s="38" t="str">
        <f t="shared" si="80"/>
        <v/>
      </c>
      <c r="E1311" s="38" t="str">
        <f t="shared" si="81"/>
        <v/>
      </c>
      <c r="G1311" s="1"/>
      <c r="L1311" s="39" t="str">
        <f t="shared" si="82"/>
        <v/>
      </c>
      <c r="T1311" s="39" t="str">
        <f t="shared" si="83"/>
        <v/>
      </c>
    </row>
    <row r="1312" spans="4:20" x14ac:dyDescent="0.25">
      <c r="D1312" s="38" t="str">
        <f t="shared" si="80"/>
        <v/>
      </c>
      <c r="E1312" s="38" t="str">
        <f t="shared" si="81"/>
        <v/>
      </c>
      <c r="G1312" s="1"/>
      <c r="L1312" s="39" t="str">
        <f t="shared" si="82"/>
        <v/>
      </c>
      <c r="T1312" s="39" t="str">
        <f t="shared" si="83"/>
        <v/>
      </c>
    </row>
    <row r="1313" spans="4:20" x14ac:dyDescent="0.25">
      <c r="D1313" s="38" t="str">
        <f t="shared" si="80"/>
        <v/>
      </c>
      <c r="E1313" s="38" t="str">
        <f t="shared" si="81"/>
        <v/>
      </c>
      <c r="G1313" s="1"/>
      <c r="L1313" s="39" t="str">
        <f t="shared" si="82"/>
        <v/>
      </c>
      <c r="T1313" s="39" t="str">
        <f t="shared" si="83"/>
        <v/>
      </c>
    </row>
    <row r="1314" spans="4:20" x14ac:dyDescent="0.25">
      <c r="D1314" s="38" t="str">
        <f t="shared" si="80"/>
        <v/>
      </c>
      <c r="E1314" s="38" t="str">
        <f t="shared" si="81"/>
        <v/>
      </c>
      <c r="G1314" s="1"/>
      <c r="L1314" s="39" t="str">
        <f t="shared" si="82"/>
        <v/>
      </c>
      <c r="T1314" s="39" t="str">
        <f t="shared" si="83"/>
        <v/>
      </c>
    </row>
    <row r="1315" spans="4:20" x14ac:dyDescent="0.25">
      <c r="D1315" s="38" t="str">
        <f t="shared" si="80"/>
        <v/>
      </c>
      <c r="E1315" s="38" t="str">
        <f t="shared" si="81"/>
        <v/>
      </c>
      <c r="G1315" s="1"/>
      <c r="L1315" s="39" t="str">
        <f t="shared" si="82"/>
        <v/>
      </c>
      <c r="T1315" s="39" t="str">
        <f t="shared" si="83"/>
        <v/>
      </c>
    </row>
    <row r="1316" spans="4:20" x14ac:dyDescent="0.25">
      <c r="D1316" s="38" t="str">
        <f t="shared" si="80"/>
        <v/>
      </c>
      <c r="E1316" s="38" t="str">
        <f t="shared" si="81"/>
        <v/>
      </c>
      <c r="G1316" s="1"/>
      <c r="L1316" s="39" t="str">
        <f t="shared" si="82"/>
        <v/>
      </c>
      <c r="T1316" s="39" t="str">
        <f t="shared" si="83"/>
        <v/>
      </c>
    </row>
    <row r="1317" spans="4:20" x14ac:dyDescent="0.25">
      <c r="D1317" s="38" t="str">
        <f t="shared" si="80"/>
        <v/>
      </c>
      <c r="E1317" s="38" t="str">
        <f t="shared" si="81"/>
        <v/>
      </c>
      <c r="G1317" s="1"/>
      <c r="L1317" s="39" t="str">
        <f t="shared" si="82"/>
        <v/>
      </c>
      <c r="T1317" s="39" t="str">
        <f t="shared" si="83"/>
        <v/>
      </c>
    </row>
    <row r="1318" spans="4:20" x14ac:dyDescent="0.25">
      <c r="D1318" s="38" t="str">
        <f t="shared" si="80"/>
        <v/>
      </c>
      <c r="E1318" s="38" t="str">
        <f t="shared" si="81"/>
        <v/>
      </c>
      <c r="G1318" s="1"/>
      <c r="L1318" s="39" t="str">
        <f t="shared" si="82"/>
        <v/>
      </c>
      <c r="T1318" s="39" t="str">
        <f t="shared" si="83"/>
        <v/>
      </c>
    </row>
    <row r="1319" spans="4:20" x14ac:dyDescent="0.25">
      <c r="D1319" s="38" t="str">
        <f t="shared" si="80"/>
        <v/>
      </c>
      <c r="E1319" s="38" t="str">
        <f t="shared" si="81"/>
        <v/>
      </c>
      <c r="G1319" s="1"/>
      <c r="L1319" s="39" t="str">
        <f t="shared" si="82"/>
        <v/>
      </c>
      <c r="T1319" s="39" t="str">
        <f t="shared" si="83"/>
        <v/>
      </c>
    </row>
    <row r="1320" spans="4:20" x14ac:dyDescent="0.25">
      <c r="D1320" s="38" t="str">
        <f t="shared" si="80"/>
        <v/>
      </c>
      <c r="E1320" s="38" t="str">
        <f t="shared" si="81"/>
        <v/>
      </c>
      <c r="G1320" s="1"/>
      <c r="L1320" s="39" t="str">
        <f t="shared" si="82"/>
        <v/>
      </c>
      <c r="T1320" s="39" t="str">
        <f t="shared" si="83"/>
        <v/>
      </c>
    </row>
    <row r="1321" spans="4:20" x14ac:dyDescent="0.25">
      <c r="D1321" s="38" t="str">
        <f t="shared" si="80"/>
        <v/>
      </c>
      <c r="E1321" s="38" t="str">
        <f t="shared" si="81"/>
        <v/>
      </c>
      <c r="G1321" s="1"/>
      <c r="L1321" s="39" t="str">
        <f t="shared" si="82"/>
        <v/>
      </c>
      <c r="T1321" s="39" t="str">
        <f t="shared" si="83"/>
        <v/>
      </c>
    </row>
    <row r="1322" spans="4:20" x14ac:dyDescent="0.25">
      <c r="D1322" s="38" t="str">
        <f t="shared" si="80"/>
        <v/>
      </c>
      <c r="E1322" s="38" t="str">
        <f t="shared" si="81"/>
        <v/>
      </c>
      <c r="G1322" s="1"/>
      <c r="L1322" s="39" t="str">
        <f t="shared" si="82"/>
        <v/>
      </c>
      <c r="T1322" s="39" t="str">
        <f t="shared" si="83"/>
        <v/>
      </c>
    </row>
    <row r="1323" spans="4:20" x14ac:dyDescent="0.25">
      <c r="D1323" s="38" t="str">
        <f t="shared" si="80"/>
        <v/>
      </c>
      <c r="E1323" s="38" t="str">
        <f t="shared" si="81"/>
        <v/>
      </c>
      <c r="G1323" s="1"/>
      <c r="L1323" s="39" t="str">
        <f t="shared" si="82"/>
        <v/>
      </c>
      <c r="T1323" s="39" t="str">
        <f t="shared" si="83"/>
        <v/>
      </c>
    </row>
    <row r="1324" spans="4:20" x14ac:dyDescent="0.25">
      <c r="D1324" s="38" t="str">
        <f t="shared" si="80"/>
        <v/>
      </c>
      <c r="E1324" s="38" t="str">
        <f t="shared" si="81"/>
        <v/>
      </c>
      <c r="G1324" s="1"/>
      <c r="L1324" s="39" t="str">
        <f t="shared" si="82"/>
        <v/>
      </c>
      <c r="T1324" s="39" t="str">
        <f t="shared" si="83"/>
        <v/>
      </c>
    </row>
    <row r="1325" spans="4:20" x14ac:dyDescent="0.25">
      <c r="D1325" s="38" t="str">
        <f t="shared" si="80"/>
        <v/>
      </c>
      <c r="E1325" s="38" t="str">
        <f t="shared" si="81"/>
        <v/>
      </c>
      <c r="G1325" s="1"/>
      <c r="L1325" s="39" t="str">
        <f t="shared" si="82"/>
        <v/>
      </c>
      <c r="T1325" s="39" t="str">
        <f t="shared" si="83"/>
        <v/>
      </c>
    </row>
    <row r="1326" spans="4:20" x14ac:dyDescent="0.25">
      <c r="D1326" s="38" t="str">
        <f t="shared" si="80"/>
        <v/>
      </c>
      <c r="E1326" s="38" t="str">
        <f t="shared" si="81"/>
        <v/>
      </c>
      <c r="G1326" s="1"/>
      <c r="L1326" s="39" t="str">
        <f t="shared" si="82"/>
        <v/>
      </c>
      <c r="T1326" s="39" t="str">
        <f t="shared" si="83"/>
        <v/>
      </c>
    </row>
    <row r="1327" spans="4:20" x14ac:dyDescent="0.25">
      <c r="D1327" s="38" t="str">
        <f t="shared" si="80"/>
        <v/>
      </c>
      <c r="E1327" s="38" t="str">
        <f t="shared" si="81"/>
        <v/>
      </c>
      <c r="G1327" s="1"/>
      <c r="L1327" s="39" t="str">
        <f t="shared" si="82"/>
        <v/>
      </c>
      <c r="T1327" s="39" t="str">
        <f t="shared" si="83"/>
        <v/>
      </c>
    </row>
    <row r="1328" spans="4:20" x14ac:dyDescent="0.25">
      <c r="D1328" s="38" t="str">
        <f t="shared" si="80"/>
        <v/>
      </c>
      <c r="E1328" s="38" t="str">
        <f t="shared" si="81"/>
        <v/>
      </c>
      <c r="G1328" s="1"/>
      <c r="L1328" s="39" t="str">
        <f t="shared" si="82"/>
        <v/>
      </c>
      <c r="T1328" s="39" t="str">
        <f t="shared" si="83"/>
        <v/>
      </c>
    </row>
    <row r="1329" spans="4:20" x14ac:dyDescent="0.25">
      <c r="D1329" s="38" t="str">
        <f t="shared" si="80"/>
        <v/>
      </c>
      <c r="E1329" s="38" t="str">
        <f t="shared" si="81"/>
        <v/>
      </c>
      <c r="G1329" s="1"/>
      <c r="L1329" s="39" t="str">
        <f t="shared" si="82"/>
        <v/>
      </c>
      <c r="T1329" s="39" t="str">
        <f t="shared" si="83"/>
        <v/>
      </c>
    </row>
    <row r="1330" spans="4:20" x14ac:dyDescent="0.25">
      <c r="D1330" s="38" t="str">
        <f t="shared" si="80"/>
        <v/>
      </c>
      <c r="E1330" s="38" t="str">
        <f t="shared" si="81"/>
        <v/>
      </c>
      <c r="G1330" s="1"/>
      <c r="L1330" s="39" t="str">
        <f t="shared" si="82"/>
        <v/>
      </c>
      <c r="T1330" s="39" t="str">
        <f t="shared" si="83"/>
        <v/>
      </c>
    </row>
    <row r="1331" spans="4:20" x14ac:dyDescent="0.25">
      <c r="D1331" s="38" t="str">
        <f t="shared" si="80"/>
        <v/>
      </c>
      <c r="E1331" s="38" t="str">
        <f t="shared" si="81"/>
        <v/>
      </c>
      <c r="G1331" s="1"/>
      <c r="L1331" s="39" t="str">
        <f t="shared" si="82"/>
        <v/>
      </c>
      <c r="T1331" s="39" t="str">
        <f t="shared" si="83"/>
        <v/>
      </c>
    </row>
    <row r="1332" spans="4:20" x14ac:dyDescent="0.25">
      <c r="D1332" s="38" t="str">
        <f t="shared" si="80"/>
        <v/>
      </c>
      <c r="E1332" s="38" t="str">
        <f t="shared" si="81"/>
        <v/>
      </c>
      <c r="G1332" s="1"/>
      <c r="L1332" s="39" t="str">
        <f t="shared" si="82"/>
        <v/>
      </c>
      <c r="T1332" s="39" t="str">
        <f t="shared" si="83"/>
        <v/>
      </c>
    </row>
    <row r="1333" spans="4:20" x14ac:dyDescent="0.25">
      <c r="D1333" s="38" t="str">
        <f t="shared" si="80"/>
        <v/>
      </c>
      <c r="E1333" s="38" t="str">
        <f t="shared" si="81"/>
        <v/>
      </c>
      <c r="G1333" s="1"/>
      <c r="L1333" s="39" t="str">
        <f t="shared" si="82"/>
        <v/>
      </c>
      <c r="T1333" s="39" t="str">
        <f t="shared" si="83"/>
        <v/>
      </c>
    </row>
    <row r="1334" spans="4:20" x14ac:dyDescent="0.25">
      <c r="D1334" s="38" t="str">
        <f t="shared" si="80"/>
        <v/>
      </c>
      <c r="E1334" s="38" t="str">
        <f t="shared" si="81"/>
        <v/>
      </c>
      <c r="G1334" s="1"/>
      <c r="L1334" s="39" t="str">
        <f t="shared" si="82"/>
        <v/>
      </c>
      <c r="T1334" s="39" t="str">
        <f t="shared" si="83"/>
        <v/>
      </c>
    </row>
    <row r="1335" spans="4:20" x14ac:dyDescent="0.25">
      <c r="D1335" s="38" t="str">
        <f t="shared" si="80"/>
        <v/>
      </c>
      <c r="E1335" s="38" t="str">
        <f t="shared" si="81"/>
        <v/>
      </c>
      <c r="G1335" s="1"/>
      <c r="L1335" s="39" t="str">
        <f t="shared" si="82"/>
        <v/>
      </c>
      <c r="T1335" s="39" t="str">
        <f t="shared" si="83"/>
        <v/>
      </c>
    </row>
    <row r="1336" spans="4:20" x14ac:dyDescent="0.25">
      <c r="D1336" s="38" t="str">
        <f t="shared" si="80"/>
        <v/>
      </c>
      <c r="E1336" s="38" t="str">
        <f t="shared" si="81"/>
        <v/>
      </c>
      <c r="G1336" s="1"/>
      <c r="L1336" s="39" t="str">
        <f t="shared" si="82"/>
        <v/>
      </c>
      <c r="T1336" s="39" t="str">
        <f t="shared" si="83"/>
        <v/>
      </c>
    </row>
    <row r="1337" spans="4:20" x14ac:dyDescent="0.25">
      <c r="D1337" s="38" t="str">
        <f t="shared" si="80"/>
        <v/>
      </c>
      <c r="E1337" s="38" t="str">
        <f t="shared" si="81"/>
        <v/>
      </c>
      <c r="G1337" s="1"/>
      <c r="L1337" s="39" t="str">
        <f t="shared" si="82"/>
        <v/>
      </c>
      <c r="T1337" s="39" t="str">
        <f t="shared" si="83"/>
        <v/>
      </c>
    </row>
    <row r="1338" spans="4:20" x14ac:dyDescent="0.25">
      <c r="D1338" s="38" t="str">
        <f t="shared" si="80"/>
        <v/>
      </c>
      <c r="E1338" s="38" t="str">
        <f t="shared" si="81"/>
        <v/>
      </c>
      <c r="G1338" s="1"/>
      <c r="L1338" s="39" t="str">
        <f t="shared" si="82"/>
        <v/>
      </c>
      <c r="T1338" s="39" t="str">
        <f t="shared" si="83"/>
        <v/>
      </c>
    </row>
    <row r="1339" spans="4:20" x14ac:dyDescent="0.25">
      <c r="D1339" s="38" t="str">
        <f t="shared" si="80"/>
        <v/>
      </c>
      <c r="E1339" s="38" t="str">
        <f t="shared" si="81"/>
        <v/>
      </c>
      <c r="G1339" s="1"/>
      <c r="L1339" s="39" t="str">
        <f t="shared" si="82"/>
        <v/>
      </c>
      <c r="T1339" s="39" t="str">
        <f t="shared" si="83"/>
        <v/>
      </c>
    </row>
    <row r="1340" spans="4:20" x14ac:dyDescent="0.25">
      <c r="D1340" s="38" t="str">
        <f t="shared" si="80"/>
        <v/>
      </c>
      <c r="E1340" s="38" t="str">
        <f t="shared" si="81"/>
        <v/>
      </c>
      <c r="G1340" s="1"/>
      <c r="L1340" s="39" t="str">
        <f t="shared" si="82"/>
        <v/>
      </c>
      <c r="T1340" s="39" t="str">
        <f t="shared" si="83"/>
        <v/>
      </c>
    </row>
    <row r="1341" spans="4:20" x14ac:dyDescent="0.25">
      <c r="D1341" s="38" t="str">
        <f t="shared" si="80"/>
        <v/>
      </c>
      <c r="E1341" s="38" t="str">
        <f t="shared" si="81"/>
        <v/>
      </c>
      <c r="G1341" s="1"/>
      <c r="L1341" s="39" t="str">
        <f t="shared" si="82"/>
        <v/>
      </c>
      <c r="T1341" s="39" t="str">
        <f t="shared" si="83"/>
        <v/>
      </c>
    </row>
    <row r="1342" spans="4:20" x14ac:dyDescent="0.25">
      <c r="D1342" s="38" t="str">
        <f t="shared" si="80"/>
        <v/>
      </c>
      <c r="E1342" s="38" t="str">
        <f t="shared" si="81"/>
        <v/>
      </c>
      <c r="G1342" s="1"/>
      <c r="L1342" s="39" t="str">
        <f t="shared" si="82"/>
        <v/>
      </c>
      <c r="T1342" s="39" t="str">
        <f t="shared" si="83"/>
        <v/>
      </c>
    </row>
    <row r="1343" spans="4:20" x14ac:dyDescent="0.25">
      <c r="D1343" s="38" t="str">
        <f t="shared" si="80"/>
        <v/>
      </c>
      <c r="E1343" s="38" t="str">
        <f t="shared" si="81"/>
        <v/>
      </c>
      <c r="G1343" s="1"/>
      <c r="L1343" s="39" t="str">
        <f t="shared" si="82"/>
        <v/>
      </c>
      <c r="T1343" s="39" t="str">
        <f t="shared" si="83"/>
        <v/>
      </c>
    </row>
    <row r="1344" spans="4:20" x14ac:dyDescent="0.25">
      <c r="D1344" s="38" t="str">
        <f t="shared" si="80"/>
        <v/>
      </c>
      <c r="E1344" s="38" t="str">
        <f t="shared" si="81"/>
        <v/>
      </c>
      <c r="G1344" s="1"/>
      <c r="L1344" s="39" t="str">
        <f t="shared" si="82"/>
        <v/>
      </c>
      <c r="T1344" s="39" t="str">
        <f t="shared" si="83"/>
        <v/>
      </c>
    </row>
    <row r="1345" spans="4:20" x14ac:dyDescent="0.25">
      <c r="D1345" s="38" t="str">
        <f t="shared" si="80"/>
        <v/>
      </c>
      <c r="E1345" s="38" t="str">
        <f t="shared" si="81"/>
        <v/>
      </c>
      <c r="G1345" s="1"/>
      <c r="L1345" s="39" t="str">
        <f t="shared" si="82"/>
        <v/>
      </c>
      <c r="T1345" s="39" t="str">
        <f t="shared" si="83"/>
        <v/>
      </c>
    </row>
    <row r="1346" spans="4:20" x14ac:dyDescent="0.25">
      <c r="D1346" s="38" t="str">
        <f t="shared" ref="D1346:D1409" si="84">IF($B1346="", "", CHOOSE(MONTH($B1346), "Gennaio","Febbraio","Marzo","Aprile","Maggio","Giugno","Luglio","Agosto","Settembre","Ottobre","Novembre","Dicembre"))</f>
        <v/>
      </c>
      <c r="E1346" s="38" t="str">
        <f t="shared" ref="E1346:E1409" si="85">IF($B1346="", "", CHOOSE(WEEKDAY($B1346,2), "Lunedì","Martedì","Mercoledì","Giovedì","Venerdì","Sabato","Domenica"))</f>
        <v/>
      </c>
      <c r="G1346" s="1"/>
      <c r="L1346" s="39" t="str">
        <f t="shared" ref="L1346:L1409" si="86">IF($K1346="Target", $G1346*$H1346, IF($K1346="Stop Loss", -$G1346, IF($K1346="Breakeven", 0, "")))</f>
        <v/>
      </c>
      <c r="T1346" s="39" t="str">
        <f t="shared" si="83"/>
        <v/>
      </c>
    </row>
    <row r="1347" spans="4:20" x14ac:dyDescent="0.25">
      <c r="D1347" s="38" t="str">
        <f t="shared" si="84"/>
        <v/>
      </c>
      <c r="E1347" s="38" t="str">
        <f t="shared" si="85"/>
        <v/>
      </c>
      <c r="G1347" s="1"/>
      <c r="L1347" s="39" t="str">
        <f t="shared" si="86"/>
        <v/>
      </c>
      <c r="T1347" s="39" t="str">
        <f t="shared" ref="T1347:T1410" si="87">IF($L1347="", "", $T1346 + $L1347)</f>
        <v/>
      </c>
    </row>
    <row r="1348" spans="4:20" x14ac:dyDescent="0.25">
      <c r="D1348" s="38" t="str">
        <f t="shared" si="84"/>
        <v/>
      </c>
      <c r="E1348" s="38" t="str">
        <f t="shared" si="85"/>
        <v/>
      </c>
      <c r="G1348" s="1"/>
      <c r="L1348" s="39" t="str">
        <f t="shared" si="86"/>
        <v/>
      </c>
      <c r="T1348" s="39" t="str">
        <f t="shared" si="87"/>
        <v/>
      </c>
    </row>
    <row r="1349" spans="4:20" x14ac:dyDescent="0.25">
      <c r="D1349" s="38" t="str">
        <f t="shared" si="84"/>
        <v/>
      </c>
      <c r="E1349" s="38" t="str">
        <f t="shared" si="85"/>
        <v/>
      </c>
      <c r="G1349" s="1"/>
      <c r="L1349" s="39" t="str">
        <f t="shared" si="86"/>
        <v/>
      </c>
      <c r="T1349" s="39" t="str">
        <f t="shared" si="87"/>
        <v/>
      </c>
    </row>
    <row r="1350" spans="4:20" x14ac:dyDescent="0.25">
      <c r="D1350" s="38" t="str">
        <f t="shared" si="84"/>
        <v/>
      </c>
      <c r="E1350" s="38" t="str">
        <f t="shared" si="85"/>
        <v/>
      </c>
      <c r="G1350" s="1"/>
      <c r="L1350" s="39" t="str">
        <f t="shared" si="86"/>
        <v/>
      </c>
      <c r="T1350" s="39" t="str">
        <f t="shared" si="87"/>
        <v/>
      </c>
    </row>
    <row r="1351" spans="4:20" x14ac:dyDescent="0.25">
      <c r="D1351" s="38" t="str">
        <f t="shared" si="84"/>
        <v/>
      </c>
      <c r="E1351" s="38" t="str">
        <f t="shared" si="85"/>
        <v/>
      </c>
      <c r="G1351" s="1"/>
      <c r="L1351" s="39" t="str">
        <f t="shared" si="86"/>
        <v/>
      </c>
      <c r="T1351" s="39" t="str">
        <f t="shared" si="87"/>
        <v/>
      </c>
    </row>
    <row r="1352" spans="4:20" x14ac:dyDescent="0.25">
      <c r="D1352" s="38" t="str">
        <f t="shared" si="84"/>
        <v/>
      </c>
      <c r="E1352" s="38" t="str">
        <f t="shared" si="85"/>
        <v/>
      </c>
      <c r="G1352" s="1"/>
      <c r="L1352" s="39" t="str">
        <f t="shared" si="86"/>
        <v/>
      </c>
      <c r="T1352" s="39" t="str">
        <f t="shared" si="87"/>
        <v/>
      </c>
    </row>
    <row r="1353" spans="4:20" x14ac:dyDescent="0.25">
      <c r="D1353" s="38" t="str">
        <f t="shared" si="84"/>
        <v/>
      </c>
      <c r="E1353" s="38" t="str">
        <f t="shared" si="85"/>
        <v/>
      </c>
      <c r="G1353" s="1"/>
      <c r="L1353" s="39" t="str">
        <f t="shared" si="86"/>
        <v/>
      </c>
      <c r="T1353" s="39" t="str">
        <f t="shared" si="87"/>
        <v/>
      </c>
    </row>
    <row r="1354" spans="4:20" x14ac:dyDescent="0.25">
      <c r="D1354" s="38" t="str">
        <f t="shared" si="84"/>
        <v/>
      </c>
      <c r="E1354" s="38" t="str">
        <f t="shared" si="85"/>
        <v/>
      </c>
      <c r="G1354" s="1"/>
      <c r="L1354" s="39" t="str">
        <f t="shared" si="86"/>
        <v/>
      </c>
      <c r="T1354" s="39" t="str">
        <f t="shared" si="87"/>
        <v/>
      </c>
    </row>
    <row r="1355" spans="4:20" x14ac:dyDescent="0.25">
      <c r="D1355" s="38" t="str">
        <f t="shared" si="84"/>
        <v/>
      </c>
      <c r="E1355" s="38" t="str">
        <f t="shared" si="85"/>
        <v/>
      </c>
      <c r="G1355" s="1"/>
      <c r="L1355" s="39" t="str">
        <f t="shared" si="86"/>
        <v/>
      </c>
      <c r="T1355" s="39" t="str">
        <f t="shared" si="87"/>
        <v/>
      </c>
    </row>
    <row r="1356" spans="4:20" x14ac:dyDescent="0.25">
      <c r="D1356" s="38" t="str">
        <f t="shared" si="84"/>
        <v/>
      </c>
      <c r="E1356" s="38" t="str">
        <f t="shared" si="85"/>
        <v/>
      </c>
      <c r="G1356" s="1"/>
      <c r="L1356" s="39" t="str">
        <f t="shared" si="86"/>
        <v/>
      </c>
      <c r="T1356" s="39" t="str">
        <f t="shared" si="87"/>
        <v/>
      </c>
    </row>
    <row r="1357" spans="4:20" x14ac:dyDescent="0.25">
      <c r="D1357" s="38" t="str">
        <f t="shared" si="84"/>
        <v/>
      </c>
      <c r="E1357" s="38" t="str">
        <f t="shared" si="85"/>
        <v/>
      </c>
      <c r="G1357" s="1"/>
      <c r="L1357" s="39" t="str">
        <f t="shared" si="86"/>
        <v/>
      </c>
      <c r="T1357" s="39" t="str">
        <f t="shared" si="87"/>
        <v/>
      </c>
    </row>
    <row r="1358" spans="4:20" x14ac:dyDescent="0.25">
      <c r="D1358" s="38" t="str">
        <f t="shared" si="84"/>
        <v/>
      </c>
      <c r="E1358" s="38" t="str">
        <f t="shared" si="85"/>
        <v/>
      </c>
      <c r="G1358" s="1"/>
      <c r="L1358" s="39" t="str">
        <f t="shared" si="86"/>
        <v/>
      </c>
      <c r="T1358" s="39" t="str">
        <f t="shared" si="87"/>
        <v/>
      </c>
    </row>
    <row r="1359" spans="4:20" x14ac:dyDescent="0.25">
      <c r="D1359" s="38" t="str">
        <f t="shared" si="84"/>
        <v/>
      </c>
      <c r="E1359" s="38" t="str">
        <f t="shared" si="85"/>
        <v/>
      </c>
      <c r="G1359" s="1"/>
      <c r="L1359" s="39" t="str">
        <f t="shared" si="86"/>
        <v/>
      </c>
      <c r="T1359" s="39" t="str">
        <f t="shared" si="87"/>
        <v/>
      </c>
    </row>
    <row r="1360" spans="4:20" x14ac:dyDescent="0.25">
      <c r="D1360" s="38" t="str">
        <f t="shared" si="84"/>
        <v/>
      </c>
      <c r="E1360" s="38" t="str">
        <f t="shared" si="85"/>
        <v/>
      </c>
      <c r="G1360" s="1"/>
      <c r="L1360" s="39" t="str">
        <f t="shared" si="86"/>
        <v/>
      </c>
      <c r="T1360" s="39" t="str">
        <f t="shared" si="87"/>
        <v/>
      </c>
    </row>
    <row r="1361" spans="4:20" x14ac:dyDescent="0.25">
      <c r="D1361" s="38" t="str">
        <f t="shared" si="84"/>
        <v/>
      </c>
      <c r="E1361" s="38" t="str">
        <f t="shared" si="85"/>
        <v/>
      </c>
      <c r="G1361" s="1"/>
      <c r="L1361" s="39" t="str">
        <f t="shared" si="86"/>
        <v/>
      </c>
      <c r="T1361" s="39" t="str">
        <f t="shared" si="87"/>
        <v/>
      </c>
    </row>
    <row r="1362" spans="4:20" x14ac:dyDescent="0.25">
      <c r="D1362" s="38" t="str">
        <f t="shared" si="84"/>
        <v/>
      </c>
      <c r="E1362" s="38" t="str">
        <f t="shared" si="85"/>
        <v/>
      </c>
      <c r="G1362" s="1"/>
      <c r="L1362" s="39" t="str">
        <f t="shared" si="86"/>
        <v/>
      </c>
      <c r="T1362" s="39" t="str">
        <f t="shared" si="87"/>
        <v/>
      </c>
    </row>
    <row r="1363" spans="4:20" x14ac:dyDescent="0.25">
      <c r="D1363" s="38" t="str">
        <f t="shared" si="84"/>
        <v/>
      </c>
      <c r="E1363" s="38" t="str">
        <f t="shared" si="85"/>
        <v/>
      </c>
      <c r="G1363" s="1"/>
      <c r="L1363" s="39" t="str">
        <f t="shared" si="86"/>
        <v/>
      </c>
      <c r="T1363" s="39" t="str">
        <f t="shared" si="87"/>
        <v/>
      </c>
    </row>
    <row r="1364" spans="4:20" x14ac:dyDescent="0.25">
      <c r="D1364" s="38" t="str">
        <f t="shared" si="84"/>
        <v/>
      </c>
      <c r="E1364" s="38" t="str">
        <f t="shared" si="85"/>
        <v/>
      </c>
      <c r="G1364" s="1"/>
      <c r="L1364" s="39" t="str">
        <f t="shared" si="86"/>
        <v/>
      </c>
      <c r="T1364" s="39" t="str">
        <f t="shared" si="87"/>
        <v/>
      </c>
    </row>
    <row r="1365" spans="4:20" x14ac:dyDescent="0.25">
      <c r="D1365" s="38" t="str">
        <f t="shared" si="84"/>
        <v/>
      </c>
      <c r="E1365" s="38" t="str">
        <f t="shared" si="85"/>
        <v/>
      </c>
      <c r="G1365" s="1"/>
      <c r="L1365" s="39" t="str">
        <f t="shared" si="86"/>
        <v/>
      </c>
      <c r="T1365" s="39" t="str">
        <f t="shared" si="87"/>
        <v/>
      </c>
    </row>
    <row r="1366" spans="4:20" x14ac:dyDescent="0.25">
      <c r="D1366" s="38" t="str">
        <f t="shared" si="84"/>
        <v/>
      </c>
      <c r="E1366" s="38" t="str">
        <f t="shared" si="85"/>
        <v/>
      </c>
      <c r="G1366" s="1"/>
      <c r="L1366" s="39" t="str">
        <f t="shared" si="86"/>
        <v/>
      </c>
      <c r="T1366" s="39" t="str">
        <f t="shared" si="87"/>
        <v/>
      </c>
    </row>
    <row r="1367" spans="4:20" x14ac:dyDescent="0.25">
      <c r="D1367" s="38" t="str">
        <f t="shared" si="84"/>
        <v/>
      </c>
      <c r="E1367" s="38" t="str">
        <f t="shared" si="85"/>
        <v/>
      </c>
      <c r="G1367" s="1"/>
      <c r="L1367" s="39" t="str">
        <f t="shared" si="86"/>
        <v/>
      </c>
      <c r="T1367" s="39" t="str">
        <f t="shared" si="87"/>
        <v/>
      </c>
    </row>
    <row r="1368" spans="4:20" x14ac:dyDescent="0.25">
      <c r="D1368" s="38" t="str">
        <f t="shared" si="84"/>
        <v/>
      </c>
      <c r="E1368" s="38" t="str">
        <f t="shared" si="85"/>
        <v/>
      </c>
      <c r="G1368" s="1"/>
      <c r="L1368" s="39" t="str">
        <f t="shared" si="86"/>
        <v/>
      </c>
      <c r="T1368" s="39" t="str">
        <f t="shared" si="87"/>
        <v/>
      </c>
    </row>
    <row r="1369" spans="4:20" x14ac:dyDescent="0.25">
      <c r="D1369" s="38" t="str">
        <f t="shared" si="84"/>
        <v/>
      </c>
      <c r="E1369" s="38" t="str">
        <f t="shared" si="85"/>
        <v/>
      </c>
      <c r="G1369" s="1"/>
      <c r="L1369" s="39" t="str">
        <f t="shared" si="86"/>
        <v/>
      </c>
      <c r="T1369" s="39" t="str">
        <f t="shared" si="87"/>
        <v/>
      </c>
    </row>
    <row r="1370" spans="4:20" x14ac:dyDescent="0.25">
      <c r="D1370" s="38" t="str">
        <f t="shared" si="84"/>
        <v/>
      </c>
      <c r="E1370" s="38" t="str">
        <f t="shared" si="85"/>
        <v/>
      </c>
      <c r="G1370" s="1"/>
      <c r="L1370" s="39" t="str">
        <f t="shared" si="86"/>
        <v/>
      </c>
      <c r="T1370" s="39" t="str">
        <f t="shared" si="87"/>
        <v/>
      </c>
    </row>
    <row r="1371" spans="4:20" x14ac:dyDescent="0.25">
      <c r="D1371" s="38" t="str">
        <f t="shared" si="84"/>
        <v/>
      </c>
      <c r="E1371" s="38" t="str">
        <f t="shared" si="85"/>
        <v/>
      </c>
      <c r="G1371" s="1"/>
      <c r="L1371" s="39" t="str">
        <f t="shared" si="86"/>
        <v/>
      </c>
      <c r="T1371" s="39" t="str">
        <f t="shared" si="87"/>
        <v/>
      </c>
    </row>
    <row r="1372" spans="4:20" x14ac:dyDescent="0.25">
      <c r="D1372" s="38" t="str">
        <f t="shared" si="84"/>
        <v/>
      </c>
      <c r="E1372" s="38" t="str">
        <f t="shared" si="85"/>
        <v/>
      </c>
      <c r="G1372" s="1"/>
      <c r="L1372" s="39" t="str">
        <f t="shared" si="86"/>
        <v/>
      </c>
      <c r="T1372" s="39" t="str">
        <f t="shared" si="87"/>
        <v/>
      </c>
    </row>
    <row r="1373" spans="4:20" x14ac:dyDescent="0.25">
      <c r="D1373" s="38" t="str">
        <f t="shared" si="84"/>
        <v/>
      </c>
      <c r="E1373" s="38" t="str">
        <f t="shared" si="85"/>
        <v/>
      </c>
      <c r="G1373" s="1"/>
      <c r="L1373" s="39" t="str">
        <f t="shared" si="86"/>
        <v/>
      </c>
      <c r="T1373" s="39" t="str">
        <f t="shared" si="87"/>
        <v/>
      </c>
    </row>
    <row r="1374" spans="4:20" x14ac:dyDescent="0.25">
      <c r="D1374" s="38" t="str">
        <f t="shared" si="84"/>
        <v/>
      </c>
      <c r="E1374" s="38" t="str">
        <f t="shared" si="85"/>
        <v/>
      </c>
      <c r="G1374" s="1"/>
      <c r="L1374" s="39" t="str">
        <f t="shared" si="86"/>
        <v/>
      </c>
      <c r="T1374" s="39" t="str">
        <f t="shared" si="87"/>
        <v/>
      </c>
    </row>
    <row r="1375" spans="4:20" x14ac:dyDescent="0.25">
      <c r="D1375" s="38" t="str">
        <f t="shared" si="84"/>
        <v/>
      </c>
      <c r="E1375" s="38" t="str">
        <f t="shared" si="85"/>
        <v/>
      </c>
      <c r="G1375" s="1"/>
      <c r="L1375" s="39" t="str">
        <f t="shared" si="86"/>
        <v/>
      </c>
      <c r="T1375" s="39" t="str">
        <f t="shared" si="87"/>
        <v/>
      </c>
    </row>
    <row r="1376" spans="4:20" x14ac:dyDescent="0.25">
      <c r="D1376" s="38" t="str">
        <f t="shared" si="84"/>
        <v/>
      </c>
      <c r="E1376" s="38" t="str">
        <f t="shared" si="85"/>
        <v/>
      </c>
      <c r="G1376" s="1"/>
      <c r="L1376" s="39" t="str">
        <f t="shared" si="86"/>
        <v/>
      </c>
      <c r="T1376" s="39" t="str">
        <f t="shared" si="87"/>
        <v/>
      </c>
    </row>
    <row r="1377" spans="4:20" x14ac:dyDescent="0.25">
      <c r="D1377" s="38" t="str">
        <f t="shared" si="84"/>
        <v/>
      </c>
      <c r="E1377" s="38" t="str">
        <f t="shared" si="85"/>
        <v/>
      </c>
      <c r="G1377" s="1"/>
      <c r="L1377" s="39" t="str">
        <f t="shared" si="86"/>
        <v/>
      </c>
      <c r="T1377" s="39" t="str">
        <f t="shared" si="87"/>
        <v/>
      </c>
    </row>
    <row r="1378" spans="4:20" x14ac:dyDescent="0.25">
      <c r="D1378" s="38" t="str">
        <f t="shared" si="84"/>
        <v/>
      </c>
      <c r="E1378" s="38" t="str">
        <f t="shared" si="85"/>
        <v/>
      </c>
      <c r="G1378" s="1"/>
      <c r="L1378" s="39" t="str">
        <f t="shared" si="86"/>
        <v/>
      </c>
      <c r="T1378" s="39" t="str">
        <f t="shared" si="87"/>
        <v/>
      </c>
    </row>
    <row r="1379" spans="4:20" x14ac:dyDescent="0.25">
      <c r="D1379" s="38" t="str">
        <f t="shared" si="84"/>
        <v/>
      </c>
      <c r="E1379" s="38" t="str">
        <f t="shared" si="85"/>
        <v/>
      </c>
      <c r="G1379" s="1"/>
      <c r="L1379" s="39" t="str">
        <f t="shared" si="86"/>
        <v/>
      </c>
      <c r="T1379" s="39" t="str">
        <f t="shared" si="87"/>
        <v/>
      </c>
    </row>
    <row r="1380" spans="4:20" x14ac:dyDescent="0.25">
      <c r="D1380" s="38" t="str">
        <f t="shared" si="84"/>
        <v/>
      </c>
      <c r="E1380" s="38" t="str">
        <f t="shared" si="85"/>
        <v/>
      </c>
      <c r="G1380" s="1"/>
      <c r="L1380" s="39" t="str">
        <f t="shared" si="86"/>
        <v/>
      </c>
      <c r="T1380" s="39" t="str">
        <f t="shared" si="87"/>
        <v/>
      </c>
    </row>
    <row r="1381" spans="4:20" x14ac:dyDescent="0.25">
      <c r="D1381" s="38" t="str">
        <f t="shared" si="84"/>
        <v/>
      </c>
      <c r="E1381" s="38" t="str">
        <f t="shared" si="85"/>
        <v/>
      </c>
      <c r="G1381" s="1"/>
      <c r="L1381" s="39" t="str">
        <f t="shared" si="86"/>
        <v/>
      </c>
      <c r="T1381" s="39" t="str">
        <f t="shared" si="87"/>
        <v/>
      </c>
    </row>
    <row r="1382" spans="4:20" x14ac:dyDescent="0.25">
      <c r="D1382" s="38" t="str">
        <f t="shared" si="84"/>
        <v/>
      </c>
      <c r="E1382" s="38" t="str">
        <f t="shared" si="85"/>
        <v/>
      </c>
      <c r="G1382" s="1"/>
      <c r="L1382" s="39" t="str">
        <f t="shared" si="86"/>
        <v/>
      </c>
      <c r="T1382" s="39" t="str">
        <f t="shared" si="87"/>
        <v/>
      </c>
    </row>
    <row r="1383" spans="4:20" x14ac:dyDescent="0.25">
      <c r="D1383" s="38" t="str">
        <f t="shared" si="84"/>
        <v/>
      </c>
      <c r="E1383" s="38" t="str">
        <f t="shared" si="85"/>
        <v/>
      </c>
      <c r="G1383" s="1"/>
      <c r="L1383" s="39" t="str">
        <f t="shared" si="86"/>
        <v/>
      </c>
      <c r="T1383" s="39" t="str">
        <f t="shared" si="87"/>
        <v/>
      </c>
    </row>
    <row r="1384" spans="4:20" x14ac:dyDescent="0.25">
      <c r="D1384" s="38" t="str">
        <f t="shared" si="84"/>
        <v/>
      </c>
      <c r="E1384" s="38" t="str">
        <f t="shared" si="85"/>
        <v/>
      </c>
      <c r="G1384" s="1"/>
      <c r="L1384" s="39" t="str">
        <f t="shared" si="86"/>
        <v/>
      </c>
      <c r="T1384" s="39" t="str">
        <f t="shared" si="87"/>
        <v/>
      </c>
    </row>
    <row r="1385" spans="4:20" x14ac:dyDescent="0.25">
      <c r="D1385" s="38" t="str">
        <f t="shared" si="84"/>
        <v/>
      </c>
      <c r="E1385" s="38" t="str">
        <f t="shared" si="85"/>
        <v/>
      </c>
      <c r="G1385" s="1"/>
      <c r="L1385" s="39" t="str">
        <f t="shared" si="86"/>
        <v/>
      </c>
      <c r="T1385" s="39" t="str">
        <f t="shared" si="87"/>
        <v/>
      </c>
    </row>
    <row r="1386" spans="4:20" x14ac:dyDescent="0.25">
      <c r="D1386" s="38" t="str">
        <f t="shared" si="84"/>
        <v/>
      </c>
      <c r="E1386" s="38" t="str">
        <f t="shared" si="85"/>
        <v/>
      </c>
      <c r="G1386" s="1"/>
      <c r="L1386" s="39" t="str">
        <f t="shared" si="86"/>
        <v/>
      </c>
      <c r="T1386" s="39" t="str">
        <f t="shared" si="87"/>
        <v/>
      </c>
    </row>
    <row r="1387" spans="4:20" x14ac:dyDescent="0.25">
      <c r="D1387" s="38" t="str">
        <f t="shared" si="84"/>
        <v/>
      </c>
      <c r="E1387" s="38" t="str">
        <f t="shared" si="85"/>
        <v/>
      </c>
      <c r="G1387" s="1"/>
      <c r="L1387" s="39" t="str">
        <f t="shared" si="86"/>
        <v/>
      </c>
      <c r="T1387" s="39" t="str">
        <f t="shared" si="87"/>
        <v/>
      </c>
    </row>
    <row r="1388" spans="4:20" x14ac:dyDescent="0.25">
      <c r="D1388" s="38" t="str">
        <f t="shared" si="84"/>
        <v/>
      </c>
      <c r="E1388" s="38" t="str">
        <f t="shared" si="85"/>
        <v/>
      </c>
      <c r="G1388" s="1"/>
      <c r="L1388" s="39" t="str">
        <f t="shared" si="86"/>
        <v/>
      </c>
      <c r="T1388" s="39" t="str">
        <f t="shared" si="87"/>
        <v/>
      </c>
    </row>
    <row r="1389" spans="4:20" x14ac:dyDescent="0.25">
      <c r="D1389" s="38" t="str">
        <f t="shared" si="84"/>
        <v/>
      </c>
      <c r="E1389" s="38" t="str">
        <f t="shared" si="85"/>
        <v/>
      </c>
      <c r="G1389" s="1"/>
      <c r="L1389" s="39" t="str">
        <f t="shared" si="86"/>
        <v/>
      </c>
      <c r="T1389" s="39" t="str">
        <f t="shared" si="87"/>
        <v/>
      </c>
    </row>
    <row r="1390" spans="4:20" x14ac:dyDescent="0.25">
      <c r="D1390" s="38" t="str">
        <f t="shared" si="84"/>
        <v/>
      </c>
      <c r="E1390" s="38" t="str">
        <f t="shared" si="85"/>
        <v/>
      </c>
      <c r="G1390" s="1"/>
      <c r="L1390" s="39" t="str">
        <f t="shared" si="86"/>
        <v/>
      </c>
      <c r="T1390" s="39" t="str">
        <f t="shared" si="87"/>
        <v/>
      </c>
    </row>
    <row r="1391" spans="4:20" x14ac:dyDescent="0.25">
      <c r="D1391" s="38" t="str">
        <f t="shared" si="84"/>
        <v/>
      </c>
      <c r="E1391" s="38" t="str">
        <f t="shared" si="85"/>
        <v/>
      </c>
      <c r="G1391" s="1"/>
      <c r="L1391" s="39" t="str">
        <f t="shared" si="86"/>
        <v/>
      </c>
      <c r="T1391" s="39" t="str">
        <f t="shared" si="87"/>
        <v/>
      </c>
    </row>
    <row r="1392" spans="4:20" x14ac:dyDescent="0.25">
      <c r="D1392" s="38" t="str">
        <f t="shared" si="84"/>
        <v/>
      </c>
      <c r="E1392" s="38" t="str">
        <f t="shared" si="85"/>
        <v/>
      </c>
      <c r="G1392" s="1"/>
      <c r="L1392" s="39" t="str">
        <f t="shared" si="86"/>
        <v/>
      </c>
      <c r="T1392" s="39" t="str">
        <f t="shared" si="87"/>
        <v/>
      </c>
    </row>
    <row r="1393" spans="4:20" x14ac:dyDescent="0.25">
      <c r="D1393" s="38" t="str">
        <f t="shared" si="84"/>
        <v/>
      </c>
      <c r="E1393" s="38" t="str">
        <f t="shared" si="85"/>
        <v/>
      </c>
      <c r="G1393" s="1"/>
      <c r="L1393" s="39" t="str">
        <f t="shared" si="86"/>
        <v/>
      </c>
      <c r="T1393" s="39" t="str">
        <f t="shared" si="87"/>
        <v/>
      </c>
    </row>
    <row r="1394" spans="4:20" x14ac:dyDescent="0.25">
      <c r="D1394" s="38" t="str">
        <f t="shared" si="84"/>
        <v/>
      </c>
      <c r="E1394" s="38" t="str">
        <f t="shared" si="85"/>
        <v/>
      </c>
      <c r="G1394" s="1"/>
      <c r="L1394" s="39" t="str">
        <f t="shared" si="86"/>
        <v/>
      </c>
      <c r="T1394" s="39" t="str">
        <f t="shared" si="87"/>
        <v/>
      </c>
    </row>
    <row r="1395" spans="4:20" x14ac:dyDescent="0.25">
      <c r="D1395" s="38" t="str">
        <f t="shared" si="84"/>
        <v/>
      </c>
      <c r="E1395" s="38" t="str">
        <f t="shared" si="85"/>
        <v/>
      </c>
      <c r="G1395" s="1"/>
      <c r="L1395" s="39" t="str">
        <f t="shared" si="86"/>
        <v/>
      </c>
      <c r="T1395" s="39" t="str">
        <f t="shared" si="87"/>
        <v/>
      </c>
    </row>
    <row r="1396" spans="4:20" x14ac:dyDescent="0.25">
      <c r="D1396" s="38" t="str">
        <f t="shared" si="84"/>
        <v/>
      </c>
      <c r="E1396" s="38" t="str">
        <f t="shared" si="85"/>
        <v/>
      </c>
      <c r="G1396" s="1"/>
      <c r="L1396" s="39" t="str">
        <f t="shared" si="86"/>
        <v/>
      </c>
      <c r="T1396" s="39" t="str">
        <f t="shared" si="87"/>
        <v/>
      </c>
    </row>
    <row r="1397" spans="4:20" x14ac:dyDescent="0.25">
      <c r="D1397" s="38" t="str">
        <f t="shared" si="84"/>
        <v/>
      </c>
      <c r="E1397" s="38" t="str">
        <f t="shared" si="85"/>
        <v/>
      </c>
      <c r="G1397" s="1"/>
      <c r="L1397" s="39" t="str">
        <f t="shared" si="86"/>
        <v/>
      </c>
      <c r="T1397" s="39" t="str">
        <f t="shared" si="87"/>
        <v/>
      </c>
    </row>
    <row r="1398" spans="4:20" x14ac:dyDescent="0.25">
      <c r="D1398" s="38" t="str">
        <f t="shared" si="84"/>
        <v/>
      </c>
      <c r="E1398" s="38" t="str">
        <f t="shared" si="85"/>
        <v/>
      </c>
      <c r="G1398" s="1"/>
      <c r="L1398" s="39" t="str">
        <f t="shared" si="86"/>
        <v/>
      </c>
      <c r="T1398" s="39" t="str">
        <f t="shared" si="87"/>
        <v/>
      </c>
    </row>
    <row r="1399" spans="4:20" x14ac:dyDescent="0.25">
      <c r="D1399" s="38" t="str">
        <f t="shared" si="84"/>
        <v/>
      </c>
      <c r="E1399" s="38" t="str">
        <f t="shared" si="85"/>
        <v/>
      </c>
      <c r="G1399" s="1"/>
      <c r="L1399" s="39" t="str">
        <f t="shared" si="86"/>
        <v/>
      </c>
      <c r="T1399" s="39" t="str">
        <f t="shared" si="87"/>
        <v/>
      </c>
    </row>
    <row r="1400" spans="4:20" x14ac:dyDescent="0.25">
      <c r="D1400" s="38" t="str">
        <f t="shared" si="84"/>
        <v/>
      </c>
      <c r="E1400" s="38" t="str">
        <f t="shared" si="85"/>
        <v/>
      </c>
      <c r="G1400" s="1"/>
      <c r="L1400" s="39" t="str">
        <f t="shared" si="86"/>
        <v/>
      </c>
      <c r="T1400" s="39" t="str">
        <f t="shared" si="87"/>
        <v/>
      </c>
    </row>
    <row r="1401" spans="4:20" x14ac:dyDescent="0.25">
      <c r="D1401" s="38" t="str">
        <f t="shared" si="84"/>
        <v/>
      </c>
      <c r="E1401" s="38" t="str">
        <f t="shared" si="85"/>
        <v/>
      </c>
      <c r="G1401" s="1"/>
      <c r="L1401" s="39" t="str">
        <f t="shared" si="86"/>
        <v/>
      </c>
      <c r="T1401" s="39" t="str">
        <f t="shared" si="87"/>
        <v/>
      </c>
    </row>
    <row r="1402" spans="4:20" x14ac:dyDescent="0.25">
      <c r="D1402" s="38" t="str">
        <f t="shared" si="84"/>
        <v/>
      </c>
      <c r="E1402" s="38" t="str">
        <f t="shared" si="85"/>
        <v/>
      </c>
      <c r="G1402" s="1"/>
      <c r="L1402" s="39" t="str">
        <f t="shared" si="86"/>
        <v/>
      </c>
      <c r="T1402" s="39" t="str">
        <f t="shared" si="87"/>
        <v/>
      </c>
    </row>
    <row r="1403" spans="4:20" x14ac:dyDescent="0.25">
      <c r="D1403" s="38" t="str">
        <f t="shared" si="84"/>
        <v/>
      </c>
      <c r="E1403" s="38" t="str">
        <f t="shared" si="85"/>
        <v/>
      </c>
      <c r="G1403" s="1"/>
      <c r="L1403" s="39" t="str">
        <f t="shared" si="86"/>
        <v/>
      </c>
      <c r="T1403" s="39" t="str">
        <f t="shared" si="87"/>
        <v/>
      </c>
    </row>
    <row r="1404" spans="4:20" x14ac:dyDescent="0.25">
      <c r="D1404" s="38" t="str">
        <f t="shared" si="84"/>
        <v/>
      </c>
      <c r="E1404" s="38" t="str">
        <f t="shared" si="85"/>
        <v/>
      </c>
      <c r="G1404" s="1"/>
      <c r="L1404" s="39" t="str">
        <f t="shared" si="86"/>
        <v/>
      </c>
      <c r="T1404" s="39" t="str">
        <f t="shared" si="87"/>
        <v/>
      </c>
    </row>
    <row r="1405" spans="4:20" x14ac:dyDescent="0.25">
      <c r="D1405" s="38" t="str">
        <f t="shared" si="84"/>
        <v/>
      </c>
      <c r="E1405" s="38" t="str">
        <f t="shared" si="85"/>
        <v/>
      </c>
      <c r="G1405" s="1"/>
      <c r="L1405" s="39" t="str">
        <f t="shared" si="86"/>
        <v/>
      </c>
      <c r="T1405" s="39" t="str">
        <f t="shared" si="87"/>
        <v/>
      </c>
    </row>
    <row r="1406" spans="4:20" x14ac:dyDescent="0.25">
      <c r="D1406" s="38" t="str">
        <f t="shared" si="84"/>
        <v/>
      </c>
      <c r="E1406" s="38" t="str">
        <f t="shared" si="85"/>
        <v/>
      </c>
      <c r="G1406" s="1"/>
      <c r="L1406" s="39" t="str">
        <f t="shared" si="86"/>
        <v/>
      </c>
      <c r="T1406" s="39" t="str">
        <f t="shared" si="87"/>
        <v/>
      </c>
    </row>
    <row r="1407" spans="4:20" x14ac:dyDescent="0.25">
      <c r="D1407" s="38" t="str">
        <f t="shared" si="84"/>
        <v/>
      </c>
      <c r="E1407" s="38" t="str">
        <f t="shared" si="85"/>
        <v/>
      </c>
      <c r="G1407" s="1"/>
      <c r="L1407" s="39" t="str">
        <f t="shared" si="86"/>
        <v/>
      </c>
      <c r="T1407" s="39" t="str">
        <f t="shared" si="87"/>
        <v/>
      </c>
    </row>
    <row r="1408" spans="4:20" x14ac:dyDescent="0.25">
      <c r="D1408" s="38" t="str">
        <f t="shared" si="84"/>
        <v/>
      </c>
      <c r="E1408" s="38" t="str">
        <f t="shared" si="85"/>
        <v/>
      </c>
      <c r="G1408" s="1"/>
      <c r="L1408" s="39" t="str">
        <f t="shared" si="86"/>
        <v/>
      </c>
      <c r="T1408" s="39" t="str">
        <f t="shared" si="87"/>
        <v/>
      </c>
    </row>
    <row r="1409" spans="4:20" x14ac:dyDescent="0.25">
      <c r="D1409" s="38" t="str">
        <f t="shared" si="84"/>
        <v/>
      </c>
      <c r="E1409" s="38" t="str">
        <f t="shared" si="85"/>
        <v/>
      </c>
      <c r="G1409" s="1"/>
      <c r="L1409" s="39" t="str">
        <f t="shared" si="86"/>
        <v/>
      </c>
      <c r="T1409" s="39" t="str">
        <f t="shared" si="87"/>
        <v/>
      </c>
    </row>
    <row r="1410" spans="4:20" x14ac:dyDescent="0.25">
      <c r="D1410" s="38" t="str">
        <f t="shared" ref="D1410:D1473" si="88">IF($B1410="", "", CHOOSE(MONTH($B1410), "Gennaio","Febbraio","Marzo","Aprile","Maggio","Giugno","Luglio","Agosto","Settembre","Ottobre","Novembre","Dicembre"))</f>
        <v/>
      </c>
      <c r="E1410" s="38" t="str">
        <f t="shared" ref="E1410:E1473" si="89">IF($B1410="", "", CHOOSE(WEEKDAY($B1410,2), "Lunedì","Martedì","Mercoledì","Giovedì","Venerdì","Sabato","Domenica"))</f>
        <v/>
      </c>
      <c r="G1410" s="1"/>
      <c r="L1410" s="39" t="str">
        <f t="shared" ref="L1410:L1473" si="90">IF($K1410="Target", $G1410*$H1410, IF($K1410="Stop Loss", -$G1410, IF($K1410="Breakeven", 0, "")))</f>
        <v/>
      </c>
      <c r="T1410" s="39" t="str">
        <f t="shared" si="87"/>
        <v/>
      </c>
    </row>
    <row r="1411" spans="4:20" x14ac:dyDescent="0.25">
      <c r="D1411" s="38" t="str">
        <f t="shared" si="88"/>
        <v/>
      </c>
      <c r="E1411" s="38" t="str">
        <f t="shared" si="89"/>
        <v/>
      </c>
      <c r="G1411" s="1"/>
      <c r="L1411" s="39" t="str">
        <f t="shared" si="90"/>
        <v/>
      </c>
      <c r="T1411" s="39" t="str">
        <f t="shared" ref="T1411:T1474" si="91">IF($L1411="", "", $T1410 + $L1411)</f>
        <v/>
      </c>
    </row>
    <row r="1412" spans="4:20" x14ac:dyDescent="0.25">
      <c r="D1412" s="38" t="str">
        <f t="shared" si="88"/>
        <v/>
      </c>
      <c r="E1412" s="38" t="str">
        <f t="shared" si="89"/>
        <v/>
      </c>
      <c r="G1412" s="1"/>
      <c r="L1412" s="39" t="str">
        <f t="shared" si="90"/>
        <v/>
      </c>
      <c r="T1412" s="39" t="str">
        <f t="shared" si="91"/>
        <v/>
      </c>
    </row>
    <row r="1413" spans="4:20" x14ac:dyDescent="0.25">
      <c r="D1413" s="38" t="str">
        <f t="shared" si="88"/>
        <v/>
      </c>
      <c r="E1413" s="38" t="str">
        <f t="shared" si="89"/>
        <v/>
      </c>
      <c r="G1413" s="1"/>
      <c r="L1413" s="39" t="str">
        <f t="shared" si="90"/>
        <v/>
      </c>
      <c r="T1413" s="39" t="str">
        <f t="shared" si="91"/>
        <v/>
      </c>
    </row>
    <row r="1414" spans="4:20" x14ac:dyDescent="0.25">
      <c r="D1414" s="38" t="str">
        <f t="shared" si="88"/>
        <v/>
      </c>
      <c r="E1414" s="38" t="str">
        <f t="shared" si="89"/>
        <v/>
      </c>
      <c r="G1414" s="1"/>
      <c r="L1414" s="39" t="str">
        <f t="shared" si="90"/>
        <v/>
      </c>
      <c r="T1414" s="39" t="str">
        <f t="shared" si="91"/>
        <v/>
      </c>
    </row>
    <row r="1415" spans="4:20" x14ac:dyDescent="0.25">
      <c r="D1415" s="38" t="str">
        <f t="shared" si="88"/>
        <v/>
      </c>
      <c r="E1415" s="38" t="str">
        <f t="shared" si="89"/>
        <v/>
      </c>
      <c r="G1415" s="1"/>
      <c r="L1415" s="39" t="str">
        <f t="shared" si="90"/>
        <v/>
      </c>
      <c r="T1415" s="39" t="str">
        <f t="shared" si="91"/>
        <v/>
      </c>
    </row>
    <row r="1416" spans="4:20" x14ac:dyDescent="0.25">
      <c r="D1416" s="38" t="str">
        <f t="shared" si="88"/>
        <v/>
      </c>
      <c r="E1416" s="38" t="str">
        <f t="shared" si="89"/>
        <v/>
      </c>
      <c r="G1416" s="1"/>
      <c r="L1416" s="39" t="str">
        <f t="shared" si="90"/>
        <v/>
      </c>
      <c r="T1416" s="39" t="str">
        <f t="shared" si="91"/>
        <v/>
      </c>
    </row>
    <row r="1417" spans="4:20" x14ac:dyDescent="0.25">
      <c r="D1417" s="38" t="str">
        <f t="shared" si="88"/>
        <v/>
      </c>
      <c r="E1417" s="38" t="str">
        <f t="shared" si="89"/>
        <v/>
      </c>
      <c r="G1417" s="1"/>
      <c r="L1417" s="39" t="str">
        <f t="shared" si="90"/>
        <v/>
      </c>
      <c r="T1417" s="39" t="str">
        <f t="shared" si="91"/>
        <v/>
      </c>
    </row>
    <row r="1418" spans="4:20" x14ac:dyDescent="0.25">
      <c r="D1418" s="38" t="str">
        <f t="shared" si="88"/>
        <v/>
      </c>
      <c r="E1418" s="38" t="str">
        <f t="shared" si="89"/>
        <v/>
      </c>
      <c r="G1418" s="1"/>
      <c r="L1418" s="39" t="str">
        <f t="shared" si="90"/>
        <v/>
      </c>
      <c r="T1418" s="39" t="str">
        <f t="shared" si="91"/>
        <v/>
      </c>
    </row>
    <row r="1419" spans="4:20" x14ac:dyDescent="0.25">
      <c r="D1419" s="38" t="str">
        <f t="shared" si="88"/>
        <v/>
      </c>
      <c r="E1419" s="38" t="str">
        <f t="shared" si="89"/>
        <v/>
      </c>
      <c r="G1419" s="1"/>
      <c r="L1419" s="39" t="str">
        <f t="shared" si="90"/>
        <v/>
      </c>
      <c r="T1419" s="39" t="str">
        <f t="shared" si="91"/>
        <v/>
      </c>
    </row>
    <row r="1420" spans="4:20" x14ac:dyDescent="0.25">
      <c r="D1420" s="38" t="str">
        <f t="shared" si="88"/>
        <v/>
      </c>
      <c r="E1420" s="38" t="str">
        <f t="shared" si="89"/>
        <v/>
      </c>
      <c r="G1420" s="1"/>
      <c r="L1420" s="39" t="str">
        <f t="shared" si="90"/>
        <v/>
      </c>
      <c r="T1420" s="39" t="str">
        <f t="shared" si="91"/>
        <v/>
      </c>
    </row>
    <row r="1421" spans="4:20" x14ac:dyDescent="0.25">
      <c r="D1421" s="38" t="str">
        <f t="shared" si="88"/>
        <v/>
      </c>
      <c r="E1421" s="38" t="str">
        <f t="shared" si="89"/>
        <v/>
      </c>
      <c r="G1421" s="1"/>
      <c r="L1421" s="39" t="str">
        <f t="shared" si="90"/>
        <v/>
      </c>
      <c r="T1421" s="39" t="str">
        <f t="shared" si="91"/>
        <v/>
      </c>
    </row>
    <row r="1422" spans="4:20" x14ac:dyDescent="0.25">
      <c r="D1422" s="38" t="str">
        <f t="shared" si="88"/>
        <v/>
      </c>
      <c r="E1422" s="38" t="str">
        <f t="shared" si="89"/>
        <v/>
      </c>
      <c r="G1422" s="1"/>
      <c r="L1422" s="39" t="str">
        <f t="shared" si="90"/>
        <v/>
      </c>
      <c r="T1422" s="39" t="str">
        <f t="shared" si="91"/>
        <v/>
      </c>
    </row>
    <row r="1423" spans="4:20" x14ac:dyDescent="0.25">
      <c r="D1423" s="38" t="str">
        <f t="shared" si="88"/>
        <v/>
      </c>
      <c r="E1423" s="38" t="str">
        <f t="shared" si="89"/>
        <v/>
      </c>
      <c r="G1423" s="1"/>
      <c r="L1423" s="39" t="str">
        <f t="shared" si="90"/>
        <v/>
      </c>
      <c r="T1423" s="39" t="str">
        <f t="shared" si="91"/>
        <v/>
      </c>
    </row>
    <row r="1424" spans="4:20" x14ac:dyDescent="0.25">
      <c r="D1424" s="38" t="str">
        <f t="shared" si="88"/>
        <v/>
      </c>
      <c r="E1424" s="38" t="str">
        <f t="shared" si="89"/>
        <v/>
      </c>
      <c r="G1424" s="1"/>
      <c r="L1424" s="39" t="str">
        <f t="shared" si="90"/>
        <v/>
      </c>
      <c r="T1424" s="39" t="str">
        <f t="shared" si="91"/>
        <v/>
      </c>
    </row>
    <row r="1425" spans="4:20" x14ac:dyDescent="0.25">
      <c r="D1425" s="38" t="str">
        <f t="shared" si="88"/>
        <v/>
      </c>
      <c r="E1425" s="38" t="str">
        <f t="shared" si="89"/>
        <v/>
      </c>
      <c r="G1425" s="1"/>
      <c r="L1425" s="39" t="str">
        <f t="shared" si="90"/>
        <v/>
      </c>
      <c r="T1425" s="39" t="str">
        <f t="shared" si="91"/>
        <v/>
      </c>
    </row>
    <row r="1426" spans="4:20" x14ac:dyDescent="0.25">
      <c r="D1426" s="38" t="str">
        <f t="shared" si="88"/>
        <v/>
      </c>
      <c r="E1426" s="38" t="str">
        <f t="shared" si="89"/>
        <v/>
      </c>
      <c r="G1426" s="1"/>
      <c r="L1426" s="39" t="str">
        <f t="shared" si="90"/>
        <v/>
      </c>
      <c r="T1426" s="39" t="str">
        <f t="shared" si="91"/>
        <v/>
      </c>
    </row>
    <row r="1427" spans="4:20" x14ac:dyDescent="0.25">
      <c r="D1427" s="38" t="str">
        <f t="shared" si="88"/>
        <v/>
      </c>
      <c r="E1427" s="38" t="str">
        <f t="shared" si="89"/>
        <v/>
      </c>
      <c r="G1427" s="1"/>
      <c r="L1427" s="39" t="str">
        <f t="shared" si="90"/>
        <v/>
      </c>
      <c r="T1427" s="39" t="str">
        <f t="shared" si="91"/>
        <v/>
      </c>
    </row>
    <row r="1428" spans="4:20" x14ac:dyDescent="0.25">
      <c r="D1428" s="38" t="str">
        <f t="shared" si="88"/>
        <v/>
      </c>
      <c r="E1428" s="38" t="str">
        <f t="shared" si="89"/>
        <v/>
      </c>
      <c r="G1428" s="1"/>
      <c r="L1428" s="39" t="str">
        <f t="shared" si="90"/>
        <v/>
      </c>
      <c r="T1428" s="39" t="str">
        <f t="shared" si="91"/>
        <v/>
      </c>
    </row>
    <row r="1429" spans="4:20" x14ac:dyDescent="0.25">
      <c r="D1429" s="38" t="str">
        <f t="shared" si="88"/>
        <v/>
      </c>
      <c r="E1429" s="38" t="str">
        <f t="shared" si="89"/>
        <v/>
      </c>
      <c r="G1429" s="1"/>
      <c r="L1429" s="39" t="str">
        <f t="shared" si="90"/>
        <v/>
      </c>
      <c r="T1429" s="39" t="str">
        <f t="shared" si="91"/>
        <v/>
      </c>
    </row>
    <row r="1430" spans="4:20" x14ac:dyDescent="0.25">
      <c r="D1430" s="38" t="str">
        <f t="shared" si="88"/>
        <v/>
      </c>
      <c r="E1430" s="38" t="str">
        <f t="shared" si="89"/>
        <v/>
      </c>
      <c r="G1430" s="1"/>
      <c r="L1430" s="39" t="str">
        <f t="shared" si="90"/>
        <v/>
      </c>
      <c r="T1430" s="39" t="str">
        <f t="shared" si="91"/>
        <v/>
      </c>
    </row>
    <row r="1431" spans="4:20" x14ac:dyDescent="0.25">
      <c r="D1431" s="38" t="str">
        <f t="shared" si="88"/>
        <v/>
      </c>
      <c r="E1431" s="38" t="str">
        <f t="shared" si="89"/>
        <v/>
      </c>
      <c r="G1431" s="1"/>
      <c r="L1431" s="39" t="str">
        <f t="shared" si="90"/>
        <v/>
      </c>
      <c r="T1431" s="39" t="str">
        <f t="shared" si="91"/>
        <v/>
      </c>
    </row>
    <row r="1432" spans="4:20" x14ac:dyDescent="0.25">
      <c r="D1432" s="38" t="str">
        <f t="shared" si="88"/>
        <v/>
      </c>
      <c r="E1432" s="38" t="str">
        <f t="shared" si="89"/>
        <v/>
      </c>
      <c r="G1432" s="1"/>
      <c r="L1432" s="39" t="str">
        <f t="shared" si="90"/>
        <v/>
      </c>
      <c r="T1432" s="39" t="str">
        <f t="shared" si="91"/>
        <v/>
      </c>
    </row>
    <row r="1433" spans="4:20" x14ac:dyDescent="0.25">
      <c r="D1433" s="38" t="str">
        <f t="shared" si="88"/>
        <v/>
      </c>
      <c r="E1433" s="38" t="str">
        <f t="shared" si="89"/>
        <v/>
      </c>
      <c r="G1433" s="1"/>
      <c r="L1433" s="39" t="str">
        <f t="shared" si="90"/>
        <v/>
      </c>
      <c r="T1433" s="39" t="str">
        <f t="shared" si="91"/>
        <v/>
      </c>
    </row>
    <row r="1434" spans="4:20" x14ac:dyDescent="0.25">
      <c r="D1434" s="38" t="str">
        <f t="shared" si="88"/>
        <v/>
      </c>
      <c r="E1434" s="38" t="str">
        <f t="shared" si="89"/>
        <v/>
      </c>
      <c r="G1434" s="1"/>
      <c r="L1434" s="39" t="str">
        <f t="shared" si="90"/>
        <v/>
      </c>
      <c r="T1434" s="39" t="str">
        <f t="shared" si="91"/>
        <v/>
      </c>
    </row>
    <row r="1435" spans="4:20" x14ac:dyDescent="0.25">
      <c r="D1435" s="38" t="str">
        <f t="shared" si="88"/>
        <v/>
      </c>
      <c r="E1435" s="38" t="str">
        <f t="shared" si="89"/>
        <v/>
      </c>
      <c r="G1435" s="1"/>
      <c r="L1435" s="39" t="str">
        <f t="shared" si="90"/>
        <v/>
      </c>
      <c r="T1435" s="39" t="str">
        <f t="shared" si="91"/>
        <v/>
      </c>
    </row>
    <row r="1436" spans="4:20" x14ac:dyDescent="0.25">
      <c r="D1436" s="38" t="str">
        <f t="shared" si="88"/>
        <v/>
      </c>
      <c r="E1436" s="38" t="str">
        <f t="shared" si="89"/>
        <v/>
      </c>
      <c r="G1436" s="1"/>
      <c r="L1436" s="39" t="str">
        <f t="shared" si="90"/>
        <v/>
      </c>
      <c r="T1436" s="39" t="str">
        <f t="shared" si="91"/>
        <v/>
      </c>
    </row>
    <row r="1437" spans="4:20" x14ac:dyDescent="0.25">
      <c r="D1437" s="38" t="str">
        <f t="shared" si="88"/>
        <v/>
      </c>
      <c r="E1437" s="38" t="str">
        <f t="shared" si="89"/>
        <v/>
      </c>
      <c r="G1437" s="1"/>
      <c r="L1437" s="39" t="str">
        <f t="shared" si="90"/>
        <v/>
      </c>
      <c r="T1437" s="39" t="str">
        <f t="shared" si="91"/>
        <v/>
      </c>
    </row>
    <row r="1438" spans="4:20" x14ac:dyDescent="0.25">
      <c r="D1438" s="38" t="str">
        <f t="shared" si="88"/>
        <v/>
      </c>
      <c r="E1438" s="38" t="str">
        <f t="shared" si="89"/>
        <v/>
      </c>
      <c r="G1438" s="1"/>
      <c r="L1438" s="39" t="str">
        <f t="shared" si="90"/>
        <v/>
      </c>
      <c r="T1438" s="39" t="str">
        <f t="shared" si="91"/>
        <v/>
      </c>
    </row>
    <row r="1439" spans="4:20" x14ac:dyDescent="0.25">
      <c r="D1439" s="38" t="str">
        <f t="shared" si="88"/>
        <v/>
      </c>
      <c r="E1439" s="38" t="str">
        <f t="shared" si="89"/>
        <v/>
      </c>
      <c r="G1439" s="1"/>
      <c r="L1439" s="39" t="str">
        <f t="shared" si="90"/>
        <v/>
      </c>
      <c r="T1439" s="39" t="str">
        <f t="shared" si="91"/>
        <v/>
      </c>
    </row>
    <row r="1440" spans="4:20" x14ac:dyDescent="0.25">
      <c r="D1440" s="38" t="str">
        <f t="shared" si="88"/>
        <v/>
      </c>
      <c r="E1440" s="38" t="str">
        <f t="shared" si="89"/>
        <v/>
      </c>
      <c r="G1440" s="1"/>
      <c r="L1440" s="39" t="str">
        <f t="shared" si="90"/>
        <v/>
      </c>
      <c r="T1440" s="39" t="str">
        <f t="shared" si="91"/>
        <v/>
      </c>
    </row>
    <row r="1441" spans="4:20" x14ac:dyDescent="0.25">
      <c r="D1441" s="38" t="str">
        <f t="shared" si="88"/>
        <v/>
      </c>
      <c r="E1441" s="38" t="str">
        <f t="shared" si="89"/>
        <v/>
      </c>
      <c r="G1441" s="1"/>
      <c r="L1441" s="39" t="str">
        <f t="shared" si="90"/>
        <v/>
      </c>
      <c r="T1441" s="39" t="str">
        <f t="shared" si="91"/>
        <v/>
      </c>
    </row>
    <row r="1442" spans="4:20" x14ac:dyDescent="0.25">
      <c r="D1442" s="38" t="str">
        <f t="shared" si="88"/>
        <v/>
      </c>
      <c r="E1442" s="38" t="str">
        <f t="shared" si="89"/>
        <v/>
      </c>
      <c r="G1442" s="1"/>
      <c r="L1442" s="39" t="str">
        <f t="shared" si="90"/>
        <v/>
      </c>
      <c r="T1442" s="39" t="str">
        <f t="shared" si="91"/>
        <v/>
      </c>
    </row>
    <row r="1443" spans="4:20" x14ac:dyDescent="0.25">
      <c r="D1443" s="38" t="str">
        <f t="shared" si="88"/>
        <v/>
      </c>
      <c r="E1443" s="38" t="str">
        <f t="shared" si="89"/>
        <v/>
      </c>
      <c r="G1443" s="1"/>
      <c r="L1443" s="39" t="str">
        <f t="shared" si="90"/>
        <v/>
      </c>
      <c r="T1443" s="39" t="str">
        <f t="shared" si="91"/>
        <v/>
      </c>
    </row>
    <row r="1444" spans="4:20" x14ac:dyDescent="0.25">
      <c r="D1444" s="38" t="str">
        <f t="shared" si="88"/>
        <v/>
      </c>
      <c r="E1444" s="38" t="str">
        <f t="shared" si="89"/>
        <v/>
      </c>
      <c r="G1444" s="1"/>
      <c r="L1444" s="39" t="str">
        <f t="shared" si="90"/>
        <v/>
      </c>
      <c r="T1444" s="39" t="str">
        <f t="shared" si="91"/>
        <v/>
      </c>
    </row>
    <row r="1445" spans="4:20" x14ac:dyDescent="0.25">
      <c r="D1445" s="38" t="str">
        <f t="shared" si="88"/>
        <v/>
      </c>
      <c r="E1445" s="38" t="str">
        <f t="shared" si="89"/>
        <v/>
      </c>
      <c r="G1445" s="1"/>
      <c r="L1445" s="39" t="str">
        <f t="shared" si="90"/>
        <v/>
      </c>
      <c r="T1445" s="39" t="str">
        <f t="shared" si="91"/>
        <v/>
      </c>
    </row>
    <row r="1446" spans="4:20" x14ac:dyDescent="0.25">
      <c r="D1446" s="38" t="str">
        <f t="shared" si="88"/>
        <v/>
      </c>
      <c r="E1446" s="38" t="str">
        <f t="shared" si="89"/>
        <v/>
      </c>
      <c r="G1446" s="1"/>
      <c r="L1446" s="39" t="str">
        <f t="shared" si="90"/>
        <v/>
      </c>
      <c r="T1446" s="39" t="str">
        <f t="shared" si="91"/>
        <v/>
      </c>
    </row>
    <row r="1447" spans="4:20" x14ac:dyDescent="0.25">
      <c r="D1447" s="38" t="str">
        <f t="shared" si="88"/>
        <v/>
      </c>
      <c r="E1447" s="38" t="str">
        <f t="shared" si="89"/>
        <v/>
      </c>
      <c r="G1447" s="1"/>
      <c r="L1447" s="39" t="str">
        <f t="shared" si="90"/>
        <v/>
      </c>
      <c r="T1447" s="39" t="str">
        <f t="shared" si="91"/>
        <v/>
      </c>
    </row>
    <row r="1448" spans="4:20" x14ac:dyDescent="0.25">
      <c r="D1448" s="38" t="str">
        <f t="shared" si="88"/>
        <v/>
      </c>
      <c r="E1448" s="38" t="str">
        <f t="shared" si="89"/>
        <v/>
      </c>
      <c r="G1448" s="1"/>
      <c r="L1448" s="39" t="str">
        <f t="shared" si="90"/>
        <v/>
      </c>
      <c r="T1448" s="39" t="str">
        <f t="shared" si="91"/>
        <v/>
      </c>
    </row>
    <row r="1449" spans="4:20" x14ac:dyDescent="0.25">
      <c r="D1449" s="38" t="str">
        <f t="shared" si="88"/>
        <v/>
      </c>
      <c r="E1449" s="38" t="str">
        <f t="shared" si="89"/>
        <v/>
      </c>
      <c r="G1449" s="1"/>
      <c r="L1449" s="39" t="str">
        <f t="shared" si="90"/>
        <v/>
      </c>
      <c r="T1449" s="39" t="str">
        <f t="shared" si="91"/>
        <v/>
      </c>
    </row>
    <row r="1450" spans="4:20" x14ac:dyDescent="0.25">
      <c r="D1450" s="38" t="str">
        <f t="shared" si="88"/>
        <v/>
      </c>
      <c r="E1450" s="38" t="str">
        <f t="shared" si="89"/>
        <v/>
      </c>
      <c r="G1450" s="1"/>
      <c r="L1450" s="39" t="str">
        <f t="shared" si="90"/>
        <v/>
      </c>
      <c r="T1450" s="39" t="str">
        <f t="shared" si="91"/>
        <v/>
      </c>
    </row>
    <row r="1451" spans="4:20" x14ac:dyDescent="0.25">
      <c r="D1451" s="38" t="str">
        <f t="shared" si="88"/>
        <v/>
      </c>
      <c r="E1451" s="38" t="str">
        <f t="shared" si="89"/>
        <v/>
      </c>
      <c r="G1451" s="1"/>
      <c r="L1451" s="39" t="str">
        <f t="shared" si="90"/>
        <v/>
      </c>
      <c r="T1451" s="39" t="str">
        <f t="shared" si="91"/>
        <v/>
      </c>
    </row>
    <row r="1452" spans="4:20" x14ac:dyDescent="0.25">
      <c r="D1452" s="38" t="str">
        <f t="shared" si="88"/>
        <v/>
      </c>
      <c r="E1452" s="38" t="str">
        <f t="shared" si="89"/>
        <v/>
      </c>
      <c r="G1452" s="1"/>
      <c r="L1452" s="39" t="str">
        <f t="shared" si="90"/>
        <v/>
      </c>
      <c r="T1452" s="39" t="str">
        <f t="shared" si="91"/>
        <v/>
      </c>
    </row>
    <row r="1453" spans="4:20" x14ac:dyDescent="0.25">
      <c r="D1453" s="38" t="str">
        <f t="shared" si="88"/>
        <v/>
      </c>
      <c r="E1453" s="38" t="str">
        <f t="shared" si="89"/>
        <v/>
      </c>
      <c r="G1453" s="1"/>
      <c r="L1453" s="39" t="str">
        <f t="shared" si="90"/>
        <v/>
      </c>
      <c r="T1453" s="39" t="str">
        <f t="shared" si="91"/>
        <v/>
      </c>
    </row>
    <row r="1454" spans="4:20" x14ac:dyDescent="0.25">
      <c r="D1454" s="38" t="str">
        <f t="shared" si="88"/>
        <v/>
      </c>
      <c r="E1454" s="38" t="str">
        <f t="shared" si="89"/>
        <v/>
      </c>
      <c r="G1454" s="1"/>
      <c r="L1454" s="39" t="str">
        <f t="shared" si="90"/>
        <v/>
      </c>
      <c r="T1454" s="39" t="str">
        <f t="shared" si="91"/>
        <v/>
      </c>
    </row>
    <row r="1455" spans="4:20" x14ac:dyDescent="0.25">
      <c r="D1455" s="38" t="str">
        <f t="shared" si="88"/>
        <v/>
      </c>
      <c r="E1455" s="38" t="str">
        <f t="shared" si="89"/>
        <v/>
      </c>
      <c r="G1455" s="1"/>
      <c r="L1455" s="39" t="str">
        <f t="shared" si="90"/>
        <v/>
      </c>
      <c r="T1455" s="39" t="str">
        <f t="shared" si="91"/>
        <v/>
      </c>
    </row>
    <row r="1456" spans="4:20" x14ac:dyDescent="0.25">
      <c r="D1456" s="38" t="str">
        <f t="shared" si="88"/>
        <v/>
      </c>
      <c r="E1456" s="38" t="str">
        <f t="shared" si="89"/>
        <v/>
      </c>
      <c r="G1456" s="1"/>
      <c r="L1456" s="39" t="str">
        <f t="shared" si="90"/>
        <v/>
      </c>
      <c r="T1456" s="39" t="str">
        <f t="shared" si="91"/>
        <v/>
      </c>
    </row>
    <row r="1457" spans="4:20" x14ac:dyDescent="0.25">
      <c r="D1457" s="38" t="str">
        <f t="shared" si="88"/>
        <v/>
      </c>
      <c r="E1457" s="38" t="str">
        <f t="shared" si="89"/>
        <v/>
      </c>
      <c r="G1457" s="1"/>
      <c r="L1457" s="39" t="str">
        <f t="shared" si="90"/>
        <v/>
      </c>
      <c r="T1457" s="39" t="str">
        <f t="shared" si="91"/>
        <v/>
      </c>
    </row>
    <row r="1458" spans="4:20" x14ac:dyDescent="0.25">
      <c r="D1458" s="38" t="str">
        <f t="shared" si="88"/>
        <v/>
      </c>
      <c r="E1458" s="38" t="str">
        <f t="shared" si="89"/>
        <v/>
      </c>
      <c r="G1458" s="1"/>
      <c r="L1458" s="39" t="str">
        <f t="shared" si="90"/>
        <v/>
      </c>
      <c r="T1458" s="39" t="str">
        <f t="shared" si="91"/>
        <v/>
      </c>
    </row>
    <row r="1459" spans="4:20" x14ac:dyDescent="0.25">
      <c r="D1459" s="38" t="str">
        <f t="shared" si="88"/>
        <v/>
      </c>
      <c r="E1459" s="38" t="str">
        <f t="shared" si="89"/>
        <v/>
      </c>
      <c r="G1459" s="1"/>
      <c r="L1459" s="39" t="str">
        <f t="shared" si="90"/>
        <v/>
      </c>
      <c r="T1459" s="39" t="str">
        <f t="shared" si="91"/>
        <v/>
      </c>
    </row>
    <row r="1460" spans="4:20" x14ac:dyDescent="0.25">
      <c r="D1460" s="38" t="str">
        <f t="shared" si="88"/>
        <v/>
      </c>
      <c r="E1460" s="38" t="str">
        <f t="shared" si="89"/>
        <v/>
      </c>
      <c r="G1460" s="1"/>
      <c r="L1460" s="39" t="str">
        <f t="shared" si="90"/>
        <v/>
      </c>
      <c r="T1460" s="39" t="str">
        <f t="shared" si="91"/>
        <v/>
      </c>
    </row>
    <row r="1461" spans="4:20" x14ac:dyDescent="0.25">
      <c r="D1461" s="38" t="str">
        <f t="shared" si="88"/>
        <v/>
      </c>
      <c r="E1461" s="38" t="str">
        <f t="shared" si="89"/>
        <v/>
      </c>
      <c r="G1461" s="1"/>
      <c r="L1461" s="39" t="str">
        <f t="shared" si="90"/>
        <v/>
      </c>
      <c r="T1461" s="39" t="str">
        <f t="shared" si="91"/>
        <v/>
      </c>
    </row>
    <row r="1462" spans="4:20" x14ac:dyDescent="0.25">
      <c r="D1462" s="38" t="str">
        <f t="shared" si="88"/>
        <v/>
      </c>
      <c r="E1462" s="38" t="str">
        <f t="shared" si="89"/>
        <v/>
      </c>
      <c r="G1462" s="1"/>
      <c r="L1462" s="39" t="str">
        <f t="shared" si="90"/>
        <v/>
      </c>
      <c r="T1462" s="39" t="str">
        <f t="shared" si="91"/>
        <v/>
      </c>
    </row>
    <row r="1463" spans="4:20" x14ac:dyDescent="0.25">
      <c r="D1463" s="38" t="str">
        <f t="shared" si="88"/>
        <v/>
      </c>
      <c r="E1463" s="38" t="str">
        <f t="shared" si="89"/>
        <v/>
      </c>
      <c r="G1463" s="1"/>
      <c r="L1463" s="39" t="str">
        <f t="shared" si="90"/>
        <v/>
      </c>
      <c r="T1463" s="39" t="str">
        <f t="shared" si="91"/>
        <v/>
      </c>
    </row>
    <row r="1464" spans="4:20" x14ac:dyDescent="0.25">
      <c r="D1464" s="38" t="str">
        <f t="shared" si="88"/>
        <v/>
      </c>
      <c r="E1464" s="38" t="str">
        <f t="shared" si="89"/>
        <v/>
      </c>
      <c r="G1464" s="1"/>
      <c r="L1464" s="39" t="str">
        <f t="shared" si="90"/>
        <v/>
      </c>
      <c r="T1464" s="39" t="str">
        <f t="shared" si="91"/>
        <v/>
      </c>
    </row>
    <row r="1465" spans="4:20" x14ac:dyDescent="0.25">
      <c r="D1465" s="38" t="str">
        <f t="shared" si="88"/>
        <v/>
      </c>
      <c r="E1465" s="38" t="str">
        <f t="shared" si="89"/>
        <v/>
      </c>
      <c r="G1465" s="1"/>
      <c r="L1465" s="39" t="str">
        <f t="shared" si="90"/>
        <v/>
      </c>
      <c r="T1465" s="39" t="str">
        <f t="shared" si="91"/>
        <v/>
      </c>
    </row>
    <row r="1466" spans="4:20" x14ac:dyDescent="0.25">
      <c r="D1466" s="38" t="str">
        <f t="shared" si="88"/>
        <v/>
      </c>
      <c r="E1466" s="38" t="str">
        <f t="shared" si="89"/>
        <v/>
      </c>
      <c r="G1466" s="1"/>
      <c r="L1466" s="39" t="str">
        <f t="shared" si="90"/>
        <v/>
      </c>
      <c r="T1466" s="39" t="str">
        <f t="shared" si="91"/>
        <v/>
      </c>
    </row>
    <row r="1467" spans="4:20" x14ac:dyDescent="0.25">
      <c r="D1467" s="38" t="str">
        <f t="shared" si="88"/>
        <v/>
      </c>
      <c r="E1467" s="38" t="str">
        <f t="shared" si="89"/>
        <v/>
      </c>
      <c r="G1467" s="1"/>
      <c r="L1467" s="39" t="str">
        <f t="shared" si="90"/>
        <v/>
      </c>
      <c r="T1467" s="39" t="str">
        <f t="shared" si="91"/>
        <v/>
      </c>
    </row>
    <row r="1468" spans="4:20" x14ac:dyDescent="0.25">
      <c r="D1468" s="38" t="str">
        <f t="shared" si="88"/>
        <v/>
      </c>
      <c r="E1468" s="38" t="str">
        <f t="shared" si="89"/>
        <v/>
      </c>
      <c r="G1468" s="1"/>
      <c r="L1468" s="39" t="str">
        <f t="shared" si="90"/>
        <v/>
      </c>
      <c r="T1468" s="39" t="str">
        <f t="shared" si="91"/>
        <v/>
      </c>
    </row>
    <row r="1469" spans="4:20" x14ac:dyDescent="0.25">
      <c r="D1469" s="38" t="str">
        <f t="shared" si="88"/>
        <v/>
      </c>
      <c r="E1469" s="38" t="str">
        <f t="shared" si="89"/>
        <v/>
      </c>
      <c r="G1469" s="1"/>
      <c r="L1469" s="39" t="str">
        <f t="shared" si="90"/>
        <v/>
      </c>
      <c r="T1469" s="39" t="str">
        <f t="shared" si="91"/>
        <v/>
      </c>
    </row>
    <row r="1470" spans="4:20" x14ac:dyDescent="0.25">
      <c r="D1470" s="38" t="str">
        <f t="shared" si="88"/>
        <v/>
      </c>
      <c r="E1470" s="38" t="str">
        <f t="shared" si="89"/>
        <v/>
      </c>
      <c r="G1470" s="1"/>
      <c r="L1470" s="39" t="str">
        <f t="shared" si="90"/>
        <v/>
      </c>
      <c r="T1470" s="39" t="str">
        <f t="shared" si="91"/>
        <v/>
      </c>
    </row>
    <row r="1471" spans="4:20" x14ac:dyDescent="0.25">
      <c r="D1471" s="38" t="str">
        <f t="shared" si="88"/>
        <v/>
      </c>
      <c r="E1471" s="38" t="str">
        <f t="shared" si="89"/>
        <v/>
      </c>
      <c r="G1471" s="1"/>
      <c r="L1471" s="39" t="str">
        <f t="shared" si="90"/>
        <v/>
      </c>
      <c r="T1471" s="39" t="str">
        <f t="shared" si="91"/>
        <v/>
      </c>
    </row>
    <row r="1472" spans="4:20" x14ac:dyDescent="0.25">
      <c r="D1472" s="38" t="str">
        <f t="shared" si="88"/>
        <v/>
      </c>
      <c r="E1472" s="38" t="str">
        <f t="shared" si="89"/>
        <v/>
      </c>
      <c r="G1472" s="1"/>
      <c r="L1472" s="39" t="str">
        <f t="shared" si="90"/>
        <v/>
      </c>
      <c r="T1472" s="39" t="str">
        <f t="shared" si="91"/>
        <v/>
      </c>
    </row>
    <row r="1473" spans="4:20" x14ac:dyDescent="0.25">
      <c r="D1473" s="38" t="str">
        <f t="shared" si="88"/>
        <v/>
      </c>
      <c r="E1473" s="38" t="str">
        <f t="shared" si="89"/>
        <v/>
      </c>
      <c r="G1473" s="1"/>
      <c r="L1473" s="39" t="str">
        <f t="shared" si="90"/>
        <v/>
      </c>
      <c r="T1473" s="39" t="str">
        <f t="shared" si="91"/>
        <v/>
      </c>
    </row>
    <row r="1474" spans="4:20" x14ac:dyDescent="0.25">
      <c r="D1474" s="38" t="str">
        <f t="shared" ref="D1474:D1537" si="92">IF($B1474="", "", CHOOSE(MONTH($B1474), "Gennaio","Febbraio","Marzo","Aprile","Maggio","Giugno","Luglio","Agosto","Settembre","Ottobre","Novembre","Dicembre"))</f>
        <v/>
      </c>
      <c r="E1474" s="38" t="str">
        <f t="shared" ref="E1474:E1537" si="93">IF($B1474="", "", CHOOSE(WEEKDAY($B1474,2), "Lunedì","Martedì","Mercoledì","Giovedì","Venerdì","Sabato","Domenica"))</f>
        <v/>
      </c>
      <c r="G1474" s="1"/>
      <c r="L1474" s="39" t="str">
        <f t="shared" ref="L1474:L1537" si="94">IF($K1474="Target", $G1474*$H1474, IF($K1474="Stop Loss", -$G1474, IF($K1474="Breakeven", 0, "")))</f>
        <v/>
      </c>
      <c r="T1474" s="39" t="str">
        <f t="shared" si="91"/>
        <v/>
      </c>
    </row>
    <row r="1475" spans="4:20" x14ac:dyDescent="0.25">
      <c r="D1475" s="38" t="str">
        <f t="shared" si="92"/>
        <v/>
      </c>
      <c r="E1475" s="38" t="str">
        <f t="shared" si="93"/>
        <v/>
      </c>
      <c r="G1475" s="1"/>
      <c r="L1475" s="39" t="str">
        <f t="shared" si="94"/>
        <v/>
      </c>
      <c r="T1475" s="39" t="str">
        <f t="shared" ref="T1475:T1538" si="95">IF($L1475="", "", $T1474 + $L1475)</f>
        <v/>
      </c>
    </row>
    <row r="1476" spans="4:20" x14ac:dyDescent="0.25">
      <c r="D1476" s="38" t="str">
        <f t="shared" si="92"/>
        <v/>
      </c>
      <c r="E1476" s="38" t="str">
        <f t="shared" si="93"/>
        <v/>
      </c>
      <c r="G1476" s="1"/>
      <c r="L1476" s="39" t="str">
        <f t="shared" si="94"/>
        <v/>
      </c>
      <c r="T1476" s="39" t="str">
        <f t="shared" si="95"/>
        <v/>
      </c>
    </row>
    <row r="1477" spans="4:20" x14ac:dyDescent="0.25">
      <c r="D1477" s="38" t="str">
        <f t="shared" si="92"/>
        <v/>
      </c>
      <c r="E1477" s="38" t="str">
        <f t="shared" si="93"/>
        <v/>
      </c>
      <c r="G1477" s="1"/>
      <c r="L1477" s="39" t="str">
        <f t="shared" si="94"/>
        <v/>
      </c>
      <c r="T1477" s="39" t="str">
        <f t="shared" si="95"/>
        <v/>
      </c>
    </row>
    <row r="1478" spans="4:20" x14ac:dyDescent="0.25">
      <c r="D1478" s="38" t="str">
        <f t="shared" si="92"/>
        <v/>
      </c>
      <c r="E1478" s="38" t="str">
        <f t="shared" si="93"/>
        <v/>
      </c>
      <c r="G1478" s="1"/>
      <c r="L1478" s="39" t="str">
        <f t="shared" si="94"/>
        <v/>
      </c>
      <c r="T1478" s="39" t="str">
        <f t="shared" si="95"/>
        <v/>
      </c>
    </row>
    <row r="1479" spans="4:20" x14ac:dyDescent="0.25">
      <c r="D1479" s="38" t="str">
        <f t="shared" si="92"/>
        <v/>
      </c>
      <c r="E1479" s="38" t="str">
        <f t="shared" si="93"/>
        <v/>
      </c>
      <c r="G1479" s="1"/>
      <c r="L1479" s="39" t="str">
        <f t="shared" si="94"/>
        <v/>
      </c>
      <c r="T1479" s="39" t="str">
        <f t="shared" si="95"/>
        <v/>
      </c>
    </row>
    <row r="1480" spans="4:20" x14ac:dyDescent="0.25">
      <c r="D1480" s="38" t="str">
        <f t="shared" si="92"/>
        <v/>
      </c>
      <c r="E1480" s="38" t="str">
        <f t="shared" si="93"/>
        <v/>
      </c>
      <c r="G1480" s="1"/>
      <c r="L1480" s="39" t="str">
        <f t="shared" si="94"/>
        <v/>
      </c>
      <c r="T1480" s="39" t="str">
        <f t="shared" si="95"/>
        <v/>
      </c>
    </row>
    <row r="1481" spans="4:20" x14ac:dyDescent="0.25">
      <c r="D1481" s="38" t="str">
        <f t="shared" si="92"/>
        <v/>
      </c>
      <c r="E1481" s="38" t="str">
        <f t="shared" si="93"/>
        <v/>
      </c>
      <c r="G1481" s="1"/>
      <c r="L1481" s="39" t="str">
        <f t="shared" si="94"/>
        <v/>
      </c>
      <c r="T1481" s="39" t="str">
        <f t="shared" si="95"/>
        <v/>
      </c>
    </row>
    <row r="1482" spans="4:20" x14ac:dyDescent="0.25">
      <c r="D1482" s="38" t="str">
        <f t="shared" si="92"/>
        <v/>
      </c>
      <c r="E1482" s="38" t="str">
        <f t="shared" si="93"/>
        <v/>
      </c>
      <c r="G1482" s="1"/>
      <c r="L1482" s="39" t="str">
        <f t="shared" si="94"/>
        <v/>
      </c>
      <c r="T1482" s="39" t="str">
        <f t="shared" si="95"/>
        <v/>
      </c>
    </row>
    <row r="1483" spans="4:20" x14ac:dyDescent="0.25">
      <c r="D1483" s="38" t="str">
        <f t="shared" si="92"/>
        <v/>
      </c>
      <c r="E1483" s="38" t="str">
        <f t="shared" si="93"/>
        <v/>
      </c>
      <c r="G1483" s="1"/>
      <c r="L1483" s="39" t="str">
        <f t="shared" si="94"/>
        <v/>
      </c>
      <c r="T1483" s="39" t="str">
        <f t="shared" si="95"/>
        <v/>
      </c>
    </row>
    <row r="1484" spans="4:20" x14ac:dyDescent="0.25">
      <c r="D1484" s="38" t="str">
        <f t="shared" si="92"/>
        <v/>
      </c>
      <c r="E1484" s="38" t="str">
        <f t="shared" si="93"/>
        <v/>
      </c>
      <c r="G1484" s="1"/>
      <c r="L1484" s="39" t="str">
        <f t="shared" si="94"/>
        <v/>
      </c>
      <c r="T1484" s="39" t="str">
        <f t="shared" si="95"/>
        <v/>
      </c>
    </row>
    <row r="1485" spans="4:20" x14ac:dyDescent="0.25">
      <c r="D1485" s="38" t="str">
        <f t="shared" si="92"/>
        <v/>
      </c>
      <c r="E1485" s="38" t="str">
        <f t="shared" si="93"/>
        <v/>
      </c>
      <c r="G1485" s="1"/>
      <c r="L1485" s="39" t="str">
        <f t="shared" si="94"/>
        <v/>
      </c>
      <c r="T1485" s="39" t="str">
        <f t="shared" si="95"/>
        <v/>
      </c>
    </row>
    <row r="1486" spans="4:20" x14ac:dyDescent="0.25">
      <c r="D1486" s="38" t="str">
        <f t="shared" si="92"/>
        <v/>
      </c>
      <c r="E1486" s="38" t="str">
        <f t="shared" si="93"/>
        <v/>
      </c>
      <c r="G1486" s="1"/>
      <c r="L1486" s="39" t="str">
        <f t="shared" si="94"/>
        <v/>
      </c>
      <c r="T1486" s="39" t="str">
        <f t="shared" si="95"/>
        <v/>
      </c>
    </row>
    <row r="1487" spans="4:20" x14ac:dyDescent="0.25">
      <c r="D1487" s="38" t="str">
        <f t="shared" si="92"/>
        <v/>
      </c>
      <c r="E1487" s="38" t="str">
        <f t="shared" si="93"/>
        <v/>
      </c>
      <c r="G1487" s="1"/>
      <c r="L1487" s="39" t="str">
        <f t="shared" si="94"/>
        <v/>
      </c>
      <c r="T1487" s="39" t="str">
        <f t="shared" si="95"/>
        <v/>
      </c>
    </row>
    <row r="1488" spans="4:20" x14ac:dyDescent="0.25">
      <c r="D1488" s="38" t="str">
        <f t="shared" si="92"/>
        <v/>
      </c>
      <c r="E1488" s="38" t="str">
        <f t="shared" si="93"/>
        <v/>
      </c>
      <c r="G1488" s="1"/>
      <c r="L1488" s="39" t="str">
        <f t="shared" si="94"/>
        <v/>
      </c>
      <c r="T1488" s="39" t="str">
        <f t="shared" si="95"/>
        <v/>
      </c>
    </row>
    <row r="1489" spans="4:20" x14ac:dyDescent="0.25">
      <c r="D1489" s="38" t="str">
        <f t="shared" si="92"/>
        <v/>
      </c>
      <c r="E1489" s="38" t="str">
        <f t="shared" si="93"/>
        <v/>
      </c>
      <c r="G1489" s="1"/>
      <c r="L1489" s="39" t="str">
        <f t="shared" si="94"/>
        <v/>
      </c>
      <c r="T1489" s="39" t="str">
        <f t="shared" si="95"/>
        <v/>
      </c>
    </row>
    <row r="1490" spans="4:20" x14ac:dyDescent="0.25">
      <c r="D1490" s="38" t="str">
        <f t="shared" si="92"/>
        <v/>
      </c>
      <c r="E1490" s="38" t="str">
        <f t="shared" si="93"/>
        <v/>
      </c>
      <c r="G1490" s="1"/>
      <c r="L1490" s="39" t="str">
        <f t="shared" si="94"/>
        <v/>
      </c>
      <c r="T1490" s="39" t="str">
        <f t="shared" si="95"/>
        <v/>
      </c>
    </row>
    <row r="1491" spans="4:20" x14ac:dyDescent="0.25">
      <c r="D1491" s="38" t="str">
        <f t="shared" si="92"/>
        <v/>
      </c>
      <c r="E1491" s="38" t="str">
        <f t="shared" si="93"/>
        <v/>
      </c>
      <c r="G1491" s="1"/>
      <c r="L1491" s="39" t="str">
        <f t="shared" si="94"/>
        <v/>
      </c>
      <c r="T1491" s="39" t="str">
        <f t="shared" si="95"/>
        <v/>
      </c>
    </row>
    <row r="1492" spans="4:20" x14ac:dyDescent="0.25">
      <c r="D1492" s="38" t="str">
        <f t="shared" si="92"/>
        <v/>
      </c>
      <c r="E1492" s="38" t="str">
        <f t="shared" si="93"/>
        <v/>
      </c>
      <c r="G1492" s="1"/>
      <c r="L1492" s="39" t="str">
        <f t="shared" si="94"/>
        <v/>
      </c>
      <c r="T1492" s="39" t="str">
        <f t="shared" si="95"/>
        <v/>
      </c>
    </row>
    <row r="1493" spans="4:20" x14ac:dyDescent="0.25">
      <c r="D1493" s="38" t="str">
        <f t="shared" si="92"/>
        <v/>
      </c>
      <c r="E1493" s="38" t="str">
        <f t="shared" si="93"/>
        <v/>
      </c>
      <c r="G1493" s="1"/>
      <c r="L1493" s="39" t="str">
        <f t="shared" si="94"/>
        <v/>
      </c>
      <c r="T1493" s="39" t="str">
        <f t="shared" si="95"/>
        <v/>
      </c>
    </row>
    <row r="1494" spans="4:20" x14ac:dyDescent="0.25">
      <c r="D1494" s="38" t="str">
        <f t="shared" si="92"/>
        <v/>
      </c>
      <c r="E1494" s="38" t="str">
        <f t="shared" si="93"/>
        <v/>
      </c>
      <c r="G1494" s="1"/>
      <c r="L1494" s="39" t="str">
        <f t="shared" si="94"/>
        <v/>
      </c>
      <c r="T1494" s="39" t="str">
        <f t="shared" si="95"/>
        <v/>
      </c>
    </row>
    <row r="1495" spans="4:20" x14ac:dyDescent="0.25">
      <c r="D1495" s="38" t="str">
        <f t="shared" si="92"/>
        <v/>
      </c>
      <c r="E1495" s="38" t="str">
        <f t="shared" si="93"/>
        <v/>
      </c>
      <c r="G1495" s="1"/>
      <c r="L1495" s="39" t="str">
        <f t="shared" si="94"/>
        <v/>
      </c>
      <c r="T1495" s="39" t="str">
        <f t="shared" si="95"/>
        <v/>
      </c>
    </row>
    <row r="1496" spans="4:20" x14ac:dyDescent="0.25">
      <c r="D1496" s="38" t="str">
        <f t="shared" si="92"/>
        <v/>
      </c>
      <c r="E1496" s="38" t="str">
        <f t="shared" si="93"/>
        <v/>
      </c>
      <c r="G1496" s="1"/>
      <c r="L1496" s="39" t="str">
        <f t="shared" si="94"/>
        <v/>
      </c>
      <c r="T1496" s="39" t="str">
        <f t="shared" si="95"/>
        <v/>
      </c>
    </row>
    <row r="1497" spans="4:20" x14ac:dyDescent="0.25">
      <c r="D1497" s="38" t="str">
        <f t="shared" si="92"/>
        <v/>
      </c>
      <c r="E1497" s="38" t="str">
        <f t="shared" si="93"/>
        <v/>
      </c>
      <c r="G1497" s="1"/>
      <c r="L1497" s="39" t="str">
        <f t="shared" si="94"/>
        <v/>
      </c>
      <c r="T1497" s="39" t="str">
        <f t="shared" si="95"/>
        <v/>
      </c>
    </row>
    <row r="1498" spans="4:20" x14ac:dyDescent="0.25">
      <c r="D1498" s="38" t="str">
        <f t="shared" si="92"/>
        <v/>
      </c>
      <c r="E1498" s="38" t="str">
        <f t="shared" si="93"/>
        <v/>
      </c>
      <c r="G1498" s="1"/>
      <c r="L1498" s="39" t="str">
        <f t="shared" si="94"/>
        <v/>
      </c>
      <c r="T1498" s="39" t="str">
        <f t="shared" si="95"/>
        <v/>
      </c>
    </row>
    <row r="1499" spans="4:20" x14ac:dyDescent="0.25">
      <c r="D1499" s="38" t="str">
        <f t="shared" si="92"/>
        <v/>
      </c>
      <c r="E1499" s="38" t="str">
        <f t="shared" si="93"/>
        <v/>
      </c>
      <c r="G1499" s="1"/>
      <c r="L1499" s="39" t="str">
        <f t="shared" si="94"/>
        <v/>
      </c>
      <c r="T1499" s="39" t="str">
        <f t="shared" si="95"/>
        <v/>
      </c>
    </row>
    <row r="1500" spans="4:20" x14ac:dyDescent="0.25">
      <c r="D1500" s="38" t="str">
        <f t="shared" si="92"/>
        <v/>
      </c>
      <c r="E1500" s="38" t="str">
        <f t="shared" si="93"/>
        <v/>
      </c>
      <c r="G1500" s="1"/>
      <c r="L1500" s="39" t="str">
        <f t="shared" si="94"/>
        <v/>
      </c>
      <c r="T1500" s="39" t="str">
        <f t="shared" si="95"/>
        <v/>
      </c>
    </row>
    <row r="1501" spans="4:20" x14ac:dyDescent="0.25">
      <c r="D1501" s="38" t="str">
        <f t="shared" si="92"/>
        <v/>
      </c>
      <c r="E1501" s="38" t="str">
        <f t="shared" si="93"/>
        <v/>
      </c>
      <c r="G1501" s="1"/>
      <c r="L1501" s="39" t="str">
        <f t="shared" si="94"/>
        <v/>
      </c>
      <c r="T1501" s="39" t="str">
        <f t="shared" si="95"/>
        <v/>
      </c>
    </row>
    <row r="1502" spans="4:20" x14ac:dyDescent="0.25">
      <c r="D1502" s="38" t="str">
        <f t="shared" si="92"/>
        <v/>
      </c>
      <c r="E1502" s="38" t="str">
        <f t="shared" si="93"/>
        <v/>
      </c>
      <c r="G1502" s="1"/>
      <c r="L1502" s="39" t="str">
        <f t="shared" si="94"/>
        <v/>
      </c>
      <c r="T1502" s="39" t="str">
        <f t="shared" si="95"/>
        <v/>
      </c>
    </row>
    <row r="1503" spans="4:20" x14ac:dyDescent="0.25">
      <c r="D1503" s="38" t="str">
        <f t="shared" si="92"/>
        <v/>
      </c>
      <c r="E1503" s="38" t="str">
        <f t="shared" si="93"/>
        <v/>
      </c>
      <c r="G1503" s="1"/>
      <c r="L1503" s="39" t="str">
        <f t="shared" si="94"/>
        <v/>
      </c>
      <c r="T1503" s="39" t="str">
        <f t="shared" si="95"/>
        <v/>
      </c>
    </row>
    <row r="1504" spans="4:20" x14ac:dyDescent="0.25">
      <c r="D1504" s="38" t="str">
        <f t="shared" si="92"/>
        <v/>
      </c>
      <c r="E1504" s="38" t="str">
        <f t="shared" si="93"/>
        <v/>
      </c>
      <c r="G1504" s="1"/>
      <c r="L1504" s="39" t="str">
        <f t="shared" si="94"/>
        <v/>
      </c>
      <c r="T1504" s="39" t="str">
        <f t="shared" si="95"/>
        <v/>
      </c>
    </row>
    <row r="1505" spans="4:20" x14ac:dyDescent="0.25">
      <c r="D1505" s="38" t="str">
        <f t="shared" si="92"/>
        <v/>
      </c>
      <c r="E1505" s="38" t="str">
        <f t="shared" si="93"/>
        <v/>
      </c>
      <c r="G1505" s="1"/>
      <c r="L1505" s="39" t="str">
        <f t="shared" si="94"/>
        <v/>
      </c>
      <c r="T1505" s="39" t="str">
        <f t="shared" si="95"/>
        <v/>
      </c>
    </row>
    <row r="1506" spans="4:20" x14ac:dyDescent="0.25">
      <c r="D1506" s="38" t="str">
        <f t="shared" si="92"/>
        <v/>
      </c>
      <c r="E1506" s="38" t="str">
        <f t="shared" si="93"/>
        <v/>
      </c>
      <c r="G1506" s="1"/>
      <c r="L1506" s="39" t="str">
        <f t="shared" si="94"/>
        <v/>
      </c>
      <c r="T1506" s="39" t="str">
        <f t="shared" si="95"/>
        <v/>
      </c>
    </row>
    <row r="1507" spans="4:20" x14ac:dyDescent="0.25">
      <c r="D1507" s="38" t="str">
        <f t="shared" si="92"/>
        <v/>
      </c>
      <c r="E1507" s="38" t="str">
        <f t="shared" si="93"/>
        <v/>
      </c>
      <c r="G1507" s="1"/>
      <c r="L1507" s="39" t="str">
        <f t="shared" si="94"/>
        <v/>
      </c>
      <c r="T1507" s="39" t="str">
        <f t="shared" si="95"/>
        <v/>
      </c>
    </row>
    <row r="1508" spans="4:20" x14ac:dyDescent="0.25">
      <c r="D1508" s="38" t="str">
        <f t="shared" si="92"/>
        <v/>
      </c>
      <c r="E1508" s="38" t="str">
        <f t="shared" si="93"/>
        <v/>
      </c>
      <c r="G1508" s="1"/>
      <c r="L1508" s="39" t="str">
        <f t="shared" si="94"/>
        <v/>
      </c>
      <c r="T1508" s="39" t="str">
        <f t="shared" si="95"/>
        <v/>
      </c>
    </row>
    <row r="1509" spans="4:20" x14ac:dyDescent="0.25">
      <c r="D1509" s="38" t="str">
        <f t="shared" si="92"/>
        <v/>
      </c>
      <c r="E1509" s="38" t="str">
        <f t="shared" si="93"/>
        <v/>
      </c>
      <c r="G1509" s="1"/>
      <c r="L1509" s="39" t="str">
        <f t="shared" si="94"/>
        <v/>
      </c>
      <c r="T1509" s="39" t="str">
        <f t="shared" si="95"/>
        <v/>
      </c>
    </row>
    <row r="1510" spans="4:20" x14ac:dyDescent="0.25">
      <c r="D1510" s="38" t="str">
        <f t="shared" si="92"/>
        <v/>
      </c>
      <c r="E1510" s="38" t="str">
        <f t="shared" si="93"/>
        <v/>
      </c>
      <c r="G1510" s="1"/>
      <c r="L1510" s="39" t="str">
        <f t="shared" si="94"/>
        <v/>
      </c>
      <c r="T1510" s="39" t="str">
        <f t="shared" si="95"/>
        <v/>
      </c>
    </row>
    <row r="1511" spans="4:20" x14ac:dyDescent="0.25">
      <c r="D1511" s="38" t="str">
        <f t="shared" si="92"/>
        <v/>
      </c>
      <c r="E1511" s="38" t="str">
        <f t="shared" si="93"/>
        <v/>
      </c>
      <c r="G1511" s="1"/>
      <c r="L1511" s="39" t="str">
        <f t="shared" si="94"/>
        <v/>
      </c>
      <c r="T1511" s="39" t="str">
        <f t="shared" si="95"/>
        <v/>
      </c>
    </row>
    <row r="1512" spans="4:20" x14ac:dyDescent="0.25">
      <c r="D1512" s="38" t="str">
        <f t="shared" si="92"/>
        <v/>
      </c>
      <c r="E1512" s="38" t="str">
        <f t="shared" si="93"/>
        <v/>
      </c>
      <c r="G1512" s="1"/>
      <c r="L1512" s="39" t="str">
        <f t="shared" si="94"/>
        <v/>
      </c>
      <c r="T1512" s="39" t="str">
        <f t="shared" si="95"/>
        <v/>
      </c>
    </row>
    <row r="1513" spans="4:20" x14ac:dyDescent="0.25">
      <c r="D1513" s="38" t="str">
        <f t="shared" si="92"/>
        <v/>
      </c>
      <c r="E1513" s="38" t="str">
        <f t="shared" si="93"/>
        <v/>
      </c>
      <c r="G1513" s="1"/>
      <c r="L1513" s="39" t="str">
        <f t="shared" si="94"/>
        <v/>
      </c>
      <c r="T1513" s="39" t="str">
        <f t="shared" si="95"/>
        <v/>
      </c>
    </row>
    <row r="1514" spans="4:20" x14ac:dyDescent="0.25">
      <c r="D1514" s="38" t="str">
        <f t="shared" si="92"/>
        <v/>
      </c>
      <c r="E1514" s="38" t="str">
        <f t="shared" si="93"/>
        <v/>
      </c>
      <c r="G1514" s="1"/>
      <c r="L1514" s="39" t="str">
        <f t="shared" si="94"/>
        <v/>
      </c>
      <c r="T1514" s="39" t="str">
        <f t="shared" si="95"/>
        <v/>
      </c>
    </row>
    <row r="1515" spans="4:20" x14ac:dyDescent="0.25">
      <c r="D1515" s="38" t="str">
        <f t="shared" si="92"/>
        <v/>
      </c>
      <c r="E1515" s="38" t="str">
        <f t="shared" si="93"/>
        <v/>
      </c>
      <c r="G1515" s="1"/>
      <c r="L1515" s="39" t="str">
        <f t="shared" si="94"/>
        <v/>
      </c>
      <c r="T1515" s="39" t="str">
        <f t="shared" si="95"/>
        <v/>
      </c>
    </row>
    <row r="1516" spans="4:20" x14ac:dyDescent="0.25">
      <c r="D1516" s="38" t="str">
        <f t="shared" si="92"/>
        <v/>
      </c>
      <c r="E1516" s="38" t="str">
        <f t="shared" si="93"/>
        <v/>
      </c>
      <c r="G1516" s="1"/>
      <c r="L1516" s="39" t="str">
        <f t="shared" si="94"/>
        <v/>
      </c>
      <c r="T1516" s="39" t="str">
        <f t="shared" si="95"/>
        <v/>
      </c>
    </row>
    <row r="1517" spans="4:20" x14ac:dyDescent="0.25">
      <c r="D1517" s="38" t="str">
        <f t="shared" si="92"/>
        <v/>
      </c>
      <c r="E1517" s="38" t="str">
        <f t="shared" si="93"/>
        <v/>
      </c>
      <c r="G1517" s="1"/>
      <c r="L1517" s="39" t="str">
        <f t="shared" si="94"/>
        <v/>
      </c>
      <c r="T1517" s="39" t="str">
        <f t="shared" si="95"/>
        <v/>
      </c>
    </row>
    <row r="1518" spans="4:20" x14ac:dyDescent="0.25">
      <c r="D1518" s="38" t="str">
        <f t="shared" si="92"/>
        <v/>
      </c>
      <c r="E1518" s="38" t="str">
        <f t="shared" si="93"/>
        <v/>
      </c>
      <c r="G1518" s="1"/>
      <c r="L1518" s="39" t="str">
        <f t="shared" si="94"/>
        <v/>
      </c>
      <c r="T1518" s="39" t="str">
        <f t="shared" si="95"/>
        <v/>
      </c>
    </row>
    <row r="1519" spans="4:20" x14ac:dyDescent="0.25">
      <c r="D1519" s="38" t="str">
        <f t="shared" si="92"/>
        <v/>
      </c>
      <c r="E1519" s="38" t="str">
        <f t="shared" si="93"/>
        <v/>
      </c>
      <c r="G1519" s="1"/>
      <c r="L1519" s="39" t="str">
        <f t="shared" si="94"/>
        <v/>
      </c>
      <c r="T1519" s="39" t="str">
        <f t="shared" si="95"/>
        <v/>
      </c>
    </row>
    <row r="1520" spans="4:20" x14ac:dyDescent="0.25">
      <c r="D1520" s="38" t="str">
        <f t="shared" si="92"/>
        <v/>
      </c>
      <c r="E1520" s="38" t="str">
        <f t="shared" si="93"/>
        <v/>
      </c>
      <c r="G1520" s="1"/>
      <c r="L1520" s="39" t="str">
        <f t="shared" si="94"/>
        <v/>
      </c>
      <c r="T1520" s="39" t="str">
        <f t="shared" si="95"/>
        <v/>
      </c>
    </row>
    <row r="1521" spans="4:20" x14ac:dyDescent="0.25">
      <c r="D1521" s="38" t="str">
        <f t="shared" si="92"/>
        <v/>
      </c>
      <c r="E1521" s="38" t="str">
        <f t="shared" si="93"/>
        <v/>
      </c>
      <c r="G1521" s="1"/>
      <c r="L1521" s="39" t="str">
        <f t="shared" si="94"/>
        <v/>
      </c>
      <c r="T1521" s="39" t="str">
        <f t="shared" si="95"/>
        <v/>
      </c>
    </row>
    <row r="1522" spans="4:20" x14ac:dyDescent="0.25">
      <c r="D1522" s="38" t="str">
        <f t="shared" si="92"/>
        <v/>
      </c>
      <c r="E1522" s="38" t="str">
        <f t="shared" si="93"/>
        <v/>
      </c>
      <c r="G1522" s="1"/>
      <c r="L1522" s="39" t="str">
        <f t="shared" si="94"/>
        <v/>
      </c>
      <c r="T1522" s="39" t="str">
        <f t="shared" si="95"/>
        <v/>
      </c>
    </row>
    <row r="1523" spans="4:20" x14ac:dyDescent="0.25">
      <c r="D1523" s="38" t="str">
        <f t="shared" si="92"/>
        <v/>
      </c>
      <c r="E1523" s="38" t="str">
        <f t="shared" si="93"/>
        <v/>
      </c>
      <c r="G1523" s="1"/>
      <c r="L1523" s="39" t="str">
        <f t="shared" si="94"/>
        <v/>
      </c>
      <c r="T1523" s="39" t="str">
        <f t="shared" si="95"/>
        <v/>
      </c>
    </row>
    <row r="1524" spans="4:20" x14ac:dyDescent="0.25">
      <c r="D1524" s="38" t="str">
        <f t="shared" si="92"/>
        <v/>
      </c>
      <c r="E1524" s="38" t="str">
        <f t="shared" si="93"/>
        <v/>
      </c>
      <c r="G1524" s="1"/>
      <c r="L1524" s="39" t="str">
        <f t="shared" si="94"/>
        <v/>
      </c>
      <c r="T1524" s="39" t="str">
        <f t="shared" si="95"/>
        <v/>
      </c>
    </row>
    <row r="1525" spans="4:20" x14ac:dyDescent="0.25">
      <c r="D1525" s="38" t="str">
        <f t="shared" si="92"/>
        <v/>
      </c>
      <c r="E1525" s="38" t="str">
        <f t="shared" si="93"/>
        <v/>
      </c>
      <c r="G1525" s="1"/>
      <c r="L1525" s="39" t="str">
        <f t="shared" si="94"/>
        <v/>
      </c>
      <c r="T1525" s="39" t="str">
        <f t="shared" si="95"/>
        <v/>
      </c>
    </row>
    <row r="1526" spans="4:20" x14ac:dyDescent="0.25">
      <c r="D1526" s="38" t="str">
        <f t="shared" si="92"/>
        <v/>
      </c>
      <c r="E1526" s="38" t="str">
        <f t="shared" si="93"/>
        <v/>
      </c>
      <c r="G1526" s="1"/>
      <c r="L1526" s="39" t="str">
        <f t="shared" si="94"/>
        <v/>
      </c>
      <c r="T1526" s="39" t="str">
        <f t="shared" si="95"/>
        <v/>
      </c>
    </row>
    <row r="1527" spans="4:20" x14ac:dyDescent="0.25">
      <c r="D1527" s="38" t="str">
        <f t="shared" si="92"/>
        <v/>
      </c>
      <c r="E1527" s="38" t="str">
        <f t="shared" si="93"/>
        <v/>
      </c>
      <c r="G1527" s="1"/>
      <c r="L1527" s="39" t="str">
        <f t="shared" si="94"/>
        <v/>
      </c>
      <c r="T1527" s="39" t="str">
        <f t="shared" si="95"/>
        <v/>
      </c>
    </row>
    <row r="1528" spans="4:20" x14ac:dyDescent="0.25">
      <c r="D1528" s="38" t="str">
        <f t="shared" si="92"/>
        <v/>
      </c>
      <c r="E1528" s="38" t="str">
        <f t="shared" si="93"/>
        <v/>
      </c>
      <c r="G1528" s="1"/>
      <c r="L1528" s="39" t="str">
        <f t="shared" si="94"/>
        <v/>
      </c>
      <c r="T1528" s="39" t="str">
        <f t="shared" si="95"/>
        <v/>
      </c>
    </row>
    <row r="1529" spans="4:20" x14ac:dyDescent="0.25">
      <c r="D1529" s="38" t="str">
        <f t="shared" si="92"/>
        <v/>
      </c>
      <c r="E1529" s="38" t="str">
        <f t="shared" si="93"/>
        <v/>
      </c>
      <c r="G1529" s="1"/>
      <c r="L1529" s="39" t="str">
        <f t="shared" si="94"/>
        <v/>
      </c>
      <c r="T1529" s="39" t="str">
        <f t="shared" si="95"/>
        <v/>
      </c>
    </row>
    <row r="1530" spans="4:20" x14ac:dyDescent="0.25">
      <c r="D1530" s="38" t="str">
        <f t="shared" si="92"/>
        <v/>
      </c>
      <c r="E1530" s="38" t="str">
        <f t="shared" si="93"/>
        <v/>
      </c>
      <c r="G1530" s="1"/>
      <c r="L1530" s="39" t="str">
        <f t="shared" si="94"/>
        <v/>
      </c>
      <c r="T1530" s="39" t="str">
        <f t="shared" si="95"/>
        <v/>
      </c>
    </row>
    <row r="1531" spans="4:20" x14ac:dyDescent="0.25">
      <c r="D1531" s="38" t="str">
        <f t="shared" si="92"/>
        <v/>
      </c>
      <c r="E1531" s="38" t="str">
        <f t="shared" si="93"/>
        <v/>
      </c>
      <c r="G1531" s="1"/>
      <c r="L1531" s="39" t="str">
        <f t="shared" si="94"/>
        <v/>
      </c>
      <c r="T1531" s="39" t="str">
        <f t="shared" si="95"/>
        <v/>
      </c>
    </row>
    <row r="1532" spans="4:20" x14ac:dyDescent="0.25">
      <c r="D1532" s="38" t="str">
        <f t="shared" si="92"/>
        <v/>
      </c>
      <c r="E1532" s="38" t="str">
        <f t="shared" si="93"/>
        <v/>
      </c>
      <c r="G1532" s="1"/>
      <c r="L1532" s="39" t="str">
        <f t="shared" si="94"/>
        <v/>
      </c>
      <c r="T1532" s="39" t="str">
        <f t="shared" si="95"/>
        <v/>
      </c>
    </row>
    <row r="1533" spans="4:20" x14ac:dyDescent="0.25">
      <c r="D1533" s="38" t="str">
        <f t="shared" si="92"/>
        <v/>
      </c>
      <c r="E1533" s="38" t="str">
        <f t="shared" si="93"/>
        <v/>
      </c>
      <c r="G1533" s="1"/>
      <c r="L1533" s="39" t="str">
        <f t="shared" si="94"/>
        <v/>
      </c>
      <c r="T1533" s="39" t="str">
        <f t="shared" si="95"/>
        <v/>
      </c>
    </row>
    <row r="1534" spans="4:20" x14ac:dyDescent="0.25">
      <c r="D1534" s="38" t="str">
        <f t="shared" si="92"/>
        <v/>
      </c>
      <c r="E1534" s="38" t="str">
        <f t="shared" si="93"/>
        <v/>
      </c>
      <c r="G1534" s="1"/>
      <c r="L1534" s="39" t="str">
        <f t="shared" si="94"/>
        <v/>
      </c>
      <c r="T1534" s="39" t="str">
        <f t="shared" si="95"/>
        <v/>
      </c>
    </row>
    <row r="1535" spans="4:20" x14ac:dyDescent="0.25">
      <c r="D1535" s="38" t="str">
        <f t="shared" si="92"/>
        <v/>
      </c>
      <c r="E1535" s="38" t="str">
        <f t="shared" si="93"/>
        <v/>
      </c>
      <c r="G1535" s="1"/>
      <c r="L1535" s="39" t="str">
        <f t="shared" si="94"/>
        <v/>
      </c>
      <c r="T1535" s="39" t="str">
        <f t="shared" si="95"/>
        <v/>
      </c>
    </row>
    <row r="1536" spans="4:20" x14ac:dyDescent="0.25">
      <c r="D1536" s="38" t="str">
        <f t="shared" si="92"/>
        <v/>
      </c>
      <c r="E1536" s="38" t="str">
        <f t="shared" si="93"/>
        <v/>
      </c>
      <c r="G1536" s="1"/>
      <c r="L1536" s="39" t="str">
        <f t="shared" si="94"/>
        <v/>
      </c>
      <c r="T1536" s="39" t="str">
        <f t="shared" si="95"/>
        <v/>
      </c>
    </row>
    <row r="1537" spans="4:20" x14ac:dyDescent="0.25">
      <c r="D1537" s="38" t="str">
        <f t="shared" si="92"/>
        <v/>
      </c>
      <c r="E1537" s="38" t="str">
        <f t="shared" si="93"/>
        <v/>
      </c>
      <c r="G1537" s="1"/>
      <c r="L1537" s="39" t="str">
        <f t="shared" si="94"/>
        <v/>
      </c>
      <c r="T1537" s="39" t="str">
        <f t="shared" si="95"/>
        <v/>
      </c>
    </row>
    <row r="1538" spans="4:20" x14ac:dyDescent="0.25">
      <c r="D1538" s="38" t="str">
        <f t="shared" ref="D1538:D1601" si="96">IF($B1538="", "", CHOOSE(MONTH($B1538), "Gennaio","Febbraio","Marzo","Aprile","Maggio","Giugno","Luglio","Agosto","Settembre","Ottobre","Novembre","Dicembre"))</f>
        <v/>
      </c>
      <c r="E1538" s="38" t="str">
        <f t="shared" ref="E1538:E1601" si="97">IF($B1538="", "", CHOOSE(WEEKDAY($B1538,2), "Lunedì","Martedì","Mercoledì","Giovedì","Venerdì","Sabato","Domenica"))</f>
        <v/>
      </c>
      <c r="G1538" s="1"/>
      <c r="L1538" s="39" t="str">
        <f t="shared" ref="L1538:L1601" si="98">IF($K1538="Target", $G1538*$H1538, IF($K1538="Stop Loss", -$G1538, IF($K1538="Breakeven", 0, "")))</f>
        <v/>
      </c>
      <c r="T1538" s="39" t="str">
        <f t="shared" si="95"/>
        <v/>
      </c>
    </row>
    <row r="1539" spans="4:20" x14ac:dyDescent="0.25">
      <c r="D1539" s="38" t="str">
        <f t="shared" si="96"/>
        <v/>
      </c>
      <c r="E1539" s="38" t="str">
        <f t="shared" si="97"/>
        <v/>
      </c>
      <c r="G1539" s="1"/>
      <c r="L1539" s="39" t="str">
        <f t="shared" si="98"/>
        <v/>
      </c>
      <c r="T1539" s="39" t="str">
        <f t="shared" ref="T1539:T1602" si="99">IF($L1539="", "", $T1538 + $L1539)</f>
        <v/>
      </c>
    </row>
    <row r="1540" spans="4:20" x14ac:dyDescent="0.25">
      <c r="D1540" s="38" t="str">
        <f t="shared" si="96"/>
        <v/>
      </c>
      <c r="E1540" s="38" t="str">
        <f t="shared" si="97"/>
        <v/>
      </c>
      <c r="G1540" s="1"/>
      <c r="L1540" s="39" t="str">
        <f t="shared" si="98"/>
        <v/>
      </c>
      <c r="T1540" s="39" t="str">
        <f t="shared" si="99"/>
        <v/>
      </c>
    </row>
    <row r="1541" spans="4:20" x14ac:dyDescent="0.25">
      <c r="D1541" s="38" t="str">
        <f t="shared" si="96"/>
        <v/>
      </c>
      <c r="E1541" s="38" t="str">
        <f t="shared" si="97"/>
        <v/>
      </c>
      <c r="G1541" s="1"/>
      <c r="L1541" s="39" t="str">
        <f t="shared" si="98"/>
        <v/>
      </c>
      <c r="T1541" s="39" t="str">
        <f t="shared" si="99"/>
        <v/>
      </c>
    </row>
    <row r="1542" spans="4:20" x14ac:dyDescent="0.25">
      <c r="D1542" s="38" t="str">
        <f t="shared" si="96"/>
        <v/>
      </c>
      <c r="E1542" s="38" t="str">
        <f t="shared" si="97"/>
        <v/>
      </c>
      <c r="G1542" s="1"/>
      <c r="L1542" s="39" t="str">
        <f t="shared" si="98"/>
        <v/>
      </c>
      <c r="T1542" s="39" t="str">
        <f t="shared" si="99"/>
        <v/>
      </c>
    </row>
    <row r="1543" spans="4:20" x14ac:dyDescent="0.25">
      <c r="D1543" s="38" t="str">
        <f t="shared" si="96"/>
        <v/>
      </c>
      <c r="E1543" s="38" t="str">
        <f t="shared" si="97"/>
        <v/>
      </c>
      <c r="G1543" s="1"/>
      <c r="L1543" s="39" t="str">
        <f t="shared" si="98"/>
        <v/>
      </c>
      <c r="T1543" s="39" t="str">
        <f t="shared" si="99"/>
        <v/>
      </c>
    </row>
    <row r="1544" spans="4:20" x14ac:dyDescent="0.25">
      <c r="D1544" s="38" t="str">
        <f t="shared" si="96"/>
        <v/>
      </c>
      <c r="E1544" s="38" t="str">
        <f t="shared" si="97"/>
        <v/>
      </c>
      <c r="G1544" s="1"/>
      <c r="L1544" s="39" t="str">
        <f t="shared" si="98"/>
        <v/>
      </c>
      <c r="T1544" s="39" t="str">
        <f t="shared" si="99"/>
        <v/>
      </c>
    </row>
    <row r="1545" spans="4:20" x14ac:dyDescent="0.25">
      <c r="D1545" s="38" t="str">
        <f t="shared" si="96"/>
        <v/>
      </c>
      <c r="E1545" s="38" t="str">
        <f t="shared" si="97"/>
        <v/>
      </c>
      <c r="G1545" s="1"/>
      <c r="L1545" s="39" t="str">
        <f t="shared" si="98"/>
        <v/>
      </c>
      <c r="T1545" s="39" t="str">
        <f t="shared" si="99"/>
        <v/>
      </c>
    </row>
    <row r="1546" spans="4:20" x14ac:dyDescent="0.25">
      <c r="D1546" s="38" t="str">
        <f t="shared" si="96"/>
        <v/>
      </c>
      <c r="E1546" s="38" t="str">
        <f t="shared" si="97"/>
        <v/>
      </c>
      <c r="G1546" s="1"/>
      <c r="L1546" s="39" t="str">
        <f t="shared" si="98"/>
        <v/>
      </c>
      <c r="T1546" s="39" t="str">
        <f t="shared" si="99"/>
        <v/>
      </c>
    </row>
    <row r="1547" spans="4:20" x14ac:dyDescent="0.25">
      <c r="D1547" s="38" t="str">
        <f t="shared" si="96"/>
        <v/>
      </c>
      <c r="E1547" s="38" t="str">
        <f t="shared" si="97"/>
        <v/>
      </c>
      <c r="G1547" s="1"/>
      <c r="L1547" s="39" t="str">
        <f t="shared" si="98"/>
        <v/>
      </c>
      <c r="T1547" s="39" t="str">
        <f t="shared" si="99"/>
        <v/>
      </c>
    </row>
    <row r="1548" spans="4:20" x14ac:dyDescent="0.25">
      <c r="D1548" s="38" t="str">
        <f t="shared" si="96"/>
        <v/>
      </c>
      <c r="E1548" s="38" t="str">
        <f t="shared" si="97"/>
        <v/>
      </c>
      <c r="G1548" s="1"/>
      <c r="L1548" s="39" t="str">
        <f t="shared" si="98"/>
        <v/>
      </c>
      <c r="T1548" s="39" t="str">
        <f t="shared" si="99"/>
        <v/>
      </c>
    </row>
    <row r="1549" spans="4:20" x14ac:dyDescent="0.25">
      <c r="D1549" s="38" t="str">
        <f t="shared" si="96"/>
        <v/>
      </c>
      <c r="E1549" s="38" t="str">
        <f t="shared" si="97"/>
        <v/>
      </c>
      <c r="G1549" s="1"/>
      <c r="L1549" s="39" t="str">
        <f t="shared" si="98"/>
        <v/>
      </c>
      <c r="T1549" s="39" t="str">
        <f t="shared" si="99"/>
        <v/>
      </c>
    </row>
    <row r="1550" spans="4:20" x14ac:dyDescent="0.25">
      <c r="D1550" s="38" t="str">
        <f t="shared" si="96"/>
        <v/>
      </c>
      <c r="E1550" s="38" t="str">
        <f t="shared" si="97"/>
        <v/>
      </c>
      <c r="G1550" s="1"/>
      <c r="L1550" s="39" t="str">
        <f t="shared" si="98"/>
        <v/>
      </c>
      <c r="T1550" s="39" t="str">
        <f t="shared" si="99"/>
        <v/>
      </c>
    </row>
    <row r="1551" spans="4:20" x14ac:dyDescent="0.25">
      <c r="D1551" s="38" t="str">
        <f t="shared" si="96"/>
        <v/>
      </c>
      <c r="E1551" s="38" t="str">
        <f t="shared" si="97"/>
        <v/>
      </c>
      <c r="G1551" s="1"/>
      <c r="L1551" s="39" t="str">
        <f t="shared" si="98"/>
        <v/>
      </c>
      <c r="T1551" s="39" t="str">
        <f t="shared" si="99"/>
        <v/>
      </c>
    </row>
    <row r="1552" spans="4:20" x14ac:dyDescent="0.25">
      <c r="D1552" s="38" t="str">
        <f t="shared" si="96"/>
        <v/>
      </c>
      <c r="E1552" s="38" t="str">
        <f t="shared" si="97"/>
        <v/>
      </c>
      <c r="G1552" s="1"/>
      <c r="L1552" s="39" t="str">
        <f t="shared" si="98"/>
        <v/>
      </c>
      <c r="T1552" s="39" t="str">
        <f t="shared" si="99"/>
        <v/>
      </c>
    </row>
    <row r="1553" spans="4:20" x14ac:dyDescent="0.25">
      <c r="D1553" s="38" t="str">
        <f t="shared" si="96"/>
        <v/>
      </c>
      <c r="E1553" s="38" t="str">
        <f t="shared" si="97"/>
        <v/>
      </c>
      <c r="G1553" s="1"/>
      <c r="L1553" s="39" t="str">
        <f t="shared" si="98"/>
        <v/>
      </c>
      <c r="T1553" s="39" t="str">
        <f t="shared" si="99"/>
        <v/>
      </c>
    </row>
    <row r="1554" spans="4:20" x14ac:dyDescent="0.25">
      <c r="D1554" s="38" t="str">
        <f t="shared" si="96"/>
        <v/>
      </c>
      <c r="E1554" s="38" t="str">
        <f t="shared" si="97"/>
        <v/>
      </c>
      <c r="G1554" s="1"/>
      <c r="L1554" s="39" t="str">
        <f t="shared" si="98"/>
        <v/>
      </c>
      <c r="T1554" s="39" t="str">
        <f t="shared" si="99"/>
        <v/>
      </c>
    </row>
    <row r="1555" spans="4:20" x14ac:dyDescent="0.25">
      <c r="D1555" s="38" t="str">
        <f t="shared" si="96"/>
        <v/>
      </c>
      <c r="E1555" s="38" t="str">
        <f t="shared" si="97"/>
        <v/>
      </c>
      <c r="G1555" s="1"/>
      <c r="L1555" s="39" t="str">
        <f t="shared" si="98"/>
        <v/>
      </c>
      <c r="T1555" s="39" t="str">
        <f t="shared" si="99"/>
        <v/>
      </c>
    </row>
    <row r="1556" spans="4:20" x14ac:dyDescent="0.25">
      <c r="D1556" s="38" t="str">
        <f t="shared" si="96"/>
        <v/>
      </c>
      <c r="E1556" s="38" t="str">
        <f t="shared" si="97"/>
        <v/>
      </c>
      <c r="G1556" s="1"/>
      <c r="L1556" s="39" t="str">
        <f t="shared" si="98"/>
        <v/>
      </c>
      <c r="T1556" s="39" t="str">
        <f t="shared" si="99"/>
        <v/>
      </c>
    </row>
    <row r="1557" spans="4:20" x14ac:dyDescent="0.25">
      <c r="D1557" s="38" t="str">
        <f t="shared" si="96"/>
        <v/>
      </c>
      <c r="E1557" s="38" t="str">
        <f t="shared" si="97"/>
        <v/>
      </c>
      <c r="G1557" s="1"/>
      <c r="L1557" s="39" t="str">
        <f t="shared" si="98"/>
        <v/>
      </c>
      <c r="T1557" s="39" t="str">
        <f t="shared" si="99"/>
        <v/>
      </c>
    </row>
    <row r="1558" spans="4:20" x14ac:dyDescent="0.25">
      <c r="D1558" s="38" t="str">
        <f t="shared" si="96"/>
        <v/>
      </c>
      <c r="E1558" s="38" t="str">
        <f t="shared" si="97"/>
        <v/>
      </c>
      <c r="G1558" s="1"/>
      <c r="L1558" s="39" t="str">
        <f t="shared" si="98"/>
        <v/>
      </c>
      <c r="T1558" s="39" t="str">
        <f t="shared" si="99"/>
        <v/>
      </c>
    </row>
    <row r="1559" spans="4:20" x14ac:dyDescent="0.25">
      <c r="D1559" s="38" t="str">
        <f t="shared" si="96"/>
        <v/>
      </c>
      <c r="E1559" s="38" t="str">
        <f t="shared" si="97"/>
        <v/>
      </c>
      <c r="G1559" s="1"/>
      <c r="L1559" s="39" t="str">
        <f t="shared" si="98"/>
        <v/>
      </c>
      <c r="T1559" s="39" t="str">
        <f t="shared" si="99"/>
        <v/>
      </c>
    </row>
    <row r="1560" spans="4:20" x14ac:dyDescent="0.25">
      <c r="D1560" s="38" t="str">
        <f t="shared" si="96"/>
        <v/>
      </c>
      <c r="E1560" s="38" t="str">
        <f t="shared" si="97"/>
        <v/>
      </c>
      <c r="G1560" s="1"/>
      <c r="L1560" s="39" t="str">
        <f t="shared" si="98"/>
        <v/>
      </c>
      <c r="T1560" s="39" t="str">
        <f t="shared" si="99"/>
        <v/>
      </c>
    </row>
    <row r="1561" spans="4:20" x14ac:dyDescent="0.25">
      <c r="D1561" s="38" t="str">
        <f t="shared" si="96"/>
        <v/>
      </c>
      <c r="E1561" s="38" t="str">
        <f t="shared" si="97"/>
        <v/>
      </c>
      <c r="G1561" s="1"/>
      <c r="L1561" s="39" t="str">
        <f t="shared" si="98"/>
        <v/>
      </c>
      <c r="T1561" s="39" t="str">
        <f t="shared" si="99"/>
        <v/>
      </c>
    </row>
    <row r="1562" spans="4:20" x14ac:dyDescent="0.25">
      <c r="D1562" s="38" t="str">
        <f t="shared" si="96"/>
        <v/>
      </c>
      <c r="E1562" s="38" t="str">
        <f t="shared" si="97"/>
        <v/>
      </c>
      <c r="G1562" s="1"/>
      <c r="L1562" s="39" t="str">
        <f t="shared" si="98"/>
        <v/>
      </c>
      <c r="T1562" s="39" t="str">
        <f t="shared" si="99"/>
        <v/>
      </c>
    </row>
    <row r="1563" spans="4:20" x14ac:dyDescent="0.25">
      <c r="D1563" s="38" t="str">
        <f t="shared" si="96"/>
        <v/>
      </c>
      <c r="E1563" s="38" t="str">
        <f t="shared" si="97"/>
        <v/>
      </c>
      <c r="G1563" s="1"/>
      <c r="L1563" s="39" t="str">
        <f t="shared" si="98"/>
        <v/>
      </c>
      <c r="T1563" s="39" t="str">
        <f t="shared" si="99"/>
        <v/>
      </c>
    </row>
    <row r="1564" spans="4:20" x14ac:dyDescent="0.25">
      <c r="D1564" s="38" t="str">
        <f t="shared" si="96"/>
        <v/>
      </c>
      <c r="E1564" s="38" t="str">
        <f t="shared" si="97"/>
        <v/>
      </c>
      <c r="G1564" s="1"/>
      <c r="L1564" s="39" t="str">
        <f t="shared" si="98"/>
        <v/>
      </c>
      <c r="T1564" s="39" t="str">
        <f t="shared" si="99"/>
        <v/>
      </c>
    </row>
    <row r="1565" spans="4:20" x14ac:dyDescent="0.25">
      <c r="D1565" s="38" t="str">
        <f t="shared" si="96"/>
        <v/>
      </c>
      <c r="E1565" s="38" t="str">
        <f t="shared" si="97"/>
        <v/>
      </c>
      <c r="G1565" s="1"/>
      <c r="L1565" s="39" t="str">
        <f t="shared" si="98"/>
        <v/>
      </c>
      <c r="T1565" s="39" t="str">
        <f t="shared" si="99"/>
        <v/>
      </c>
    </row>
    <row r="1566" spans="4:20" x14ac:dyDescent="0.25">
      <c r="D1566" s="38" t="str">
        <f t="shared" si="96"/>
        <v/>
      </c>
      <c r="E1566" s="38" t="str">
        <f t="shared" si="97"/>
        <v/>
      </c>
      <c r="G1566" s="1"/>
      <c r="L1566" s="39" t="str">
        <f t="shared" si="98"/>
        <v/>
      </c>
      <c r="T1566" s="39" t="str">
        <f t="shared" si="99"/>
        <v/>
      </c>
    </row>
    <row r="1567" spans="4:20" x14ac:dyDescent="0.25">
      <c r="D1567" s="38" t="str">
        <f t="shared" si="96"/>
        <v/>
      </c>
      <c r="E1567" s="38" t="str">
        <f t="shared" si="97"/>
        <v/>
      </c>
      <c r="G1567" s="1"/>
      <c r="L1567" s="39" t="str">
        <f t="shared" si="98"/>
        <v/>
      </c>
      <c r="T1567" s="39" t="str">
        <f t="shared" si="99"/>
        <v/>
      </c>
    </row>
    <row r="1568" spans="4:20" x14ac:dyDescent="0.25">
      <c r="D1568" s="38" t="str">
        <f t="shared" si="96"/>
        <v/>
      </c>
      <c r="E1568" s="38" t="str">
        <f t="shared" si="97"/>
        <v/>
      </c>
      <c r="G1568" s="1"/>
      <c r="L1568" s="39" t="str">
        <f t="shared" si="98"/>
        <v/>
      </c>
      <c r="T1568" s="39" t="str">
        <f t="shared" si="99"/>
        <v/>
      </c>
    </row>
    <row r="1569" spans="4:20" x14ac:dyDescent="0.25">
      <c r="D1569" s="38" t="str">
        <f t="shared" si="96"/>
        <v/>
      </c>
      <c r="E1569" s="38" t="str">
        <f t="shared" si="97"/>
        <v/>
      </c>
      <c r="G1569" s="1"/>
      <c r="L1569" s="39" t="str">
        <f t="shared" si="98"/>
        <v/>
      </c>
      <c r="T1569" s="39" t="str">
        <f t="shared" si="99"/>
        <v/>
      </c>
    </row>
    <row r="1570" spans="4:20" x14ac:dyDescent="0.25">
      <c r="D1570" s="38" t="str">
        <f t="shared" si="96"/>
        <v/>
      </c>
      <c r="E1570" s="38" t="str">
        <f t="shared" si="97"/>
        <v/>
      </c>
      <c r="G1570" s="1"/>
      <c r="L1570" s="39" t="str">
        <f t="shared" si="98"/>
        <v/>
      </c>
      <c r="T1570" s="39" t="str">
        <f t="shared" si="99"/>
        <v/>
      </c>
    </row>
    <row r="1571" spans="4:20" x14ac:dyDescent="0.25">
      <c r="D1571" s="38" t="str">
        <f t="shared" si="96"/>
        <v/>
      </c>
      <c r="E1571" s="38" t="str">
        <f t="shared" si="97"/>
        <v/>
      </c>
      <c r="G1571" s="1"/>
      <c r="L1571" s="39" t="str">
        <f t="shared" si="98"/>
        <v/>
      </c>
      <c r="T1571" s="39" t="str">
        <f t="shared" si="99"/>
        <v/>
      </c>
    </row>
    <row r="1572" spans="4:20" x14ac:dyDescent="0.25">
      <c r="D1572" s="38" t="str">
        <f t="shared" si="96"/>
        <v/>
      </c>
      <c r="E1572" s="38" t="str">
        <f t="shared" si="97"/>
        <v/>
      </c>
      <c r="G1572" s="1"/>
      <c r="L1572" s="39" t="str">
        <f t="shared" si="98"/>
        <v/>
      </c>
      <c r="T1572" s="39" t="str">
        <f t="shared" si="99"/>
        <v/>
      </c>
    </row>
    <row r="1573" spans="4:20" x14ac:dyDescent="0.25">
      <c r="D1573" s="38" t="str">
        <f t="shared" si="96"/>
        <v/>
      </c>
      <c r="E1573" s="38" t="str">
        <f t="shared" si="97"/>
        <v/>
      </c>
      <c r="G1573" s="1"/>
      <c r="L1573" s="39" t="str">
        <f t="shared" si="98"/>
        <v/>
      </c>
      <c r="T1573" s="39" t="str">
        <f t="shared" si="99"/>
        <v/>
      </c>
    </row>
    <row r="1574" spans="4:20" x14ac:dyDescent="0.25">
      <c r="D1574" s="38" t="str">
        <f t="shared" si="96"/>
        <v/>
      </c>
      <c r="E1574" s="38" t="str">
        <f t="shared" si="97"/>
        <v/>
      </c>
      <c r="G1574" s="1"/>
      <c r="L1574" s="39" t="str">
        <f t="shared" si="98"/>
        <v/>
      </c>
      <c r="T1574" s="39" t="str">
        <f t="shared" si="99"/>
        <v/>
      </c>
    </row>
    <row r="1575" spans="4:20" x14ac:dyDescent="0.25">
      <c r="D1575" s="38" t="str">
        <f t="shared" si="96"/>
        <v/>
      </c>
      <c r="E1575" s="38" t="str">
        <f t="shared" si="97"/>
        <v/>
      </c>
      <c r="G1575" s="1"/>
      <c r="L1575" s="39" t="str">
        <f t="shared" si="98"/>
        <v/>
      </c>
      <c r="T1575" s="39" t="str">
        <f t="shared" si="99"/>
        <v/>
      </c>
    </row>
    <row r="1576" spans="4:20" x14ac:dyDescent="0.25">
      <c r="D1576" s="38" t="str">
        <f t="shared" si="96"/>
        <v/>
      </c>
      <c r="E1576" s="38" t="str">
        <f t="shared" si="97"/>
        <v/>
      </c>
      <c r="G1576" s="1"/>
      <c r="L1576" s="39" t="str">
        <f t="shared" si="98"/>
        <v/>
      </c>
      <c r="T1576" s="39" t="str">
        <f t="shared" si="99"/>
        <v/>
      </c>
    </row>
    <row r="1577" spans="4:20" x14ac:dyDescent="0.25">
      <c r="D1577" s="38" t="str">
        <f t="shared" si="96"/>
        <v/>
      </c>
      <c r="E1577" s="38" t="str">
        <f t="shared" si="97"/>
        <v/>
      </c>
      <c r="G1577" s="1"/>
      <c r="L1577" s="39" t="str">
        <f t="shared" si="98"/>
        <v/>
      </c>
      <c r="T1577" s="39" t="str">
        <f t="shared" si="99"/>
        <v/>
      </c>
    </row>
    <row r="1578" spans="4:20" x14ac:dyDescent="0.25">
      <c r="D1578" s="38" t="str">
        <f t="shared" si="96"/>
        <v/>
      </c>
      <c r="E1578" s="38" t="str">
        <f t="shared" si="97"/>
        <v/>
      </c>
      <c r="G1578" s="1"/>
      <c r="L1578" s="39" t="str">
        <f t="shared" si="98"/>
        <v/>
      </c>
      <c r="T1578" s="39" t="str">
        <f t="shared" si="99"/>
        <v/>
      </c>
    </row>
    <row r="1579" spans="4:20" x14ac:dyDescent="0.25">
      <c r="D1579" s="38" t="str">
        <f t="shared" si="96"/>
        <v/>
      </c>
      <c r="E1579" s="38" t="str">
        <f t="shared" si="97"/>
        <v/>
      </c>
      <c r="G1579" s="1"/>
      <c r="L1579" s="39" t="str">
        <f t="shared" si="98"/>
        <v/>
      </c>
      <c r="T1579" s="39" t="str">
        <f t="shared" si="99"/>
        <v/>
      </c>
    </row>
    <row r="1580" spans="4:20" x14ac:dyDescent="0.25">
      <c r="D1580" s="38" t="str">
        <f t="shared" si="96"/>
        <v/>
      </c>
      <c r="E1580" s="38" t="str">
        <f t="shared" si="97"/>
        <v/>
      </c>
      <c r="G1580" s="1"/>
      <c r="L1580" s="39" t="str">
        <f t="shared" si="98"/>
        <v/>
      </c>
      <c r="T1580" s="39" t="str">
        <f t="shared" si="99"/>
        <v/>
      </c>
    </row>
    <row r="1581" spans="4:20" x14ac:dyDescent="0.25">
      <c r="D1581" s="38" t="str">
        <f t="shared" si="96"/>
        <v/>
      </c>
      <c r="E1581" s="38" t="str">
        <f t="shared" si="97"/>
        <v/>
      </c>
      <c r="G1581" s="1"/>
      <c r="L1581" s="39" t="str">
        <f t="shared" si="98"/>
        <v/>
      </c>
      <c r="T1581" s="39" t="str">
        <f t="shared" si="99"/>
        <v/>
      </c>
    </row>
    <row r="1582" spans="4:20" x14ac:dyDescent="0.25">
      <c r="D1582" s="38" t="str">
        <f t="shared" si="96"/>
        <v/>
      </c>
      <c r="E1582" s="38" t="str">
        <f t="shared" si="97"/>
        <v/>
      </c>
      <c r="G1582" s="1"/>
      <c r="L1582" s="39" t="str">
        <f t="shared" si="98"/>
        <v/>
      </c>
      <c r="T1582" s="39" t="str">
        <f t="shared" si="99"/>
        <v/>
      </c>
    </row>
    <row r="1583" spans="4:20" x14ac:dyDescent="0.25">
      <c r="D1583" s="38" t="str">
        <f t="shared" si="96"/>
        <v/>
      </c>
      <c r="E1583" s="38" t="str">
        <f t="shared" si="97"/>
        <v/>
      </c>
      <c r="G1583" s="1"/>
      <c r="L1583" s="39" t="str">
        <f t="shared" si="98"/>
        <v/>
      </c>
      <c r="T1583" s="39" t="str">
        <f t="shared" si="99"/>
        <v/>
      </c>
    </row>
    <row r="1584" spans="4:20" x14ac:dyDescent="0.25">
      <c r="D1584" s="38" t="str">
        <f t="shared" si="96"/>
        <v/>
      </c>
      <c r="E1584" s="38" t="str">
        <f t="shared" si="97"/>
        <v/>
      </c>
      <c r="G1584" s="1"/>
      <c r="L1584" s="39" t="str">
        <f t="shared" si="98"/>
        <v/>
      </c>
      <c r="T1584" s="39" t="str">
        <f t="shared" si="99"/>
        <v/>
      </c>
    </row>
    <row r="1585" spans="4:20" x14ac:dyDescent="0.25">
      <c r="D1585" s="38" t="str">
        <f t="shared" si="96"/>
        <v/>
      </c>
      <c r="E1585" s="38" t="str">
        <f t="shared" si="97"/>
        <v/>
      </c>
      <c r="G1585" s="1"/>
      <c r="L1585" s="39" t="str">
        <f t="shared" si="98"/>
        <v/>
      </c>
      <c r="T1585" s="39" t="str">
        <f t="shared" si="99"/>
        <v/>
      </c>
    </row>
    <row r="1586" spans="4:20" x14ac:dyDescent="0.25">
      <c r="D1586" s="38" t="str">
        <f t="shared" si="96"/>
        <v/>
      </c>
      <c r="E1586" s="38" t="str">
        <f t="shared" si="97"/>
        <v/>
      </c>
      <c r="G1586" s="1"/>
      <c r="L1586" s="39" t="str">
        <f t="shared" si="98"/>
        <v/>
      </c>
      <c r="T1586" s="39" t="str">
        <f t="shared" si="99"/>
        <v/>
      </c>
    </row>
    <row r="1587" spans="4:20" x14ac:dyDescent="0.25">
      <c r="D1587" s="38" t="str">
        <f t="shared" si="96"/>
        <v/>
      </c>
      <c r="E1587" s="38" t="str">
        <f t="shared" si="97"/>
        <v/>
      </c>
      <c r="G1587" s="1"/>
      <c r="L1587" s="39" t="str">
        <f t="shared" si="98"/>
        <v/>
      </c>
      <c r="T1587" s="39" t="str">
        <f t="shared" si="99"/>
        <v/>
      </c>
    </row>
    <row r="1588" spans="4:20" x14ac:dyDescent="0.25">
      <c r="D1588" s="38" t="str">
        <f t="shared" si="96"/>
        <v/>
      </c>
      <c r="E1588" s="38" t="str">
        <f t="shared" si="97"/>
        <v/>
      </c>
      <c r="G1588" s="1"/>
      <c r="L1588" s="39" t="str">
        <f t="shared" si="98"/>
        <v/>
      </c>
      <c r="T1588" s="39" t="str">
        <f t="shared" si="99"/>
        <v/>
      </c>
    </row>
    <row r="1589" spans="4:20" x14ac:dyDescent="0.25">
      <c r="D1589" s="38" t="str">
        <f t="shared" si="96"/>
        <v/>
      </c>
      <c r="E1589" s="38" t="str">
        <f t="shared" si="97"/>
        <v/>
      </c>
      <c r="G1589" s="1"/>
      <c r="L1589" s="39" t="str">
        <f t="shared" si="98"/>
        <v/>
      </c>
      <c r="T1589" s="39" t="str">
        <f t="shared" si="99"/>
        <v/>
      </c>
    </row>
    <row r="1590" spans="4:20" x14ac:dyDescent="0.25">
      <c r="D1590" s="38" t="str">
        <f t="shared" si="96"/>
        <v/>
      </c>
      <c r="E1590" s="38" t="str">
        <f t="shared" si="97"/>
        <v/>
      </c>
      <c r="G1590" s="1"/>
      <c r="L1590" s="39" t="str">
        <f t="shared" si="98"/>
        <v/>
      </c>
      <c r="T1590" s="39" t="str">
        <f t="shared" si="99"/>
        <v/>
      </c>
    </row>
    <row r="1591" spans="4:20" x14ac:dyDescent="0.25">
      <c r="D1591" s="38" t="str">
        <f t="shared" si="96"/>
        <v/>
      </c>
      <c r="E1591" s="38" t="str">
        <f t="shared" si="97"/>
        <v/>
      </c>
      <c r="G1591" s="1"/>
      <c r="L1591" s="39" t="str">
        <f t="shared" si="98"/>
        <v/>
      </c>
      <c r="T1591" s="39" t="str">
        <f t="shared" si="99"/>
        <v/>
      </c>
    </row>
    <row r="1592" spans="4:20" x14ac:dyDescent="0.25">
      <c r="D1592" s="38" t="str">
        <f t="shared" si="96"/>
        <v/>
      </c>
      <c r="E1592" s="38" t="str">
        <f t="shared" si="97"/>
        <v/>
      </c>
      <c r="G1592" s="1"/>
      <c r="L1592" s="39" t="str">
        <f t="shared" si="98"/>
        <v/>
      </c>
      <c r="T1592" s="39" t="str">
        <f t="shared" si="99"/>
        <v/>
      </c>
    </row>
    <row r="1593" spans="4:20" x14ac:dyDescent="0.25">
      <c r="D1593" s="38" t="str">
        <f t="shared" si="96"/>
        <v/>
      </c>
      <c r="E1593" s="38" t="str">
        <f t="shared" si="97"/>
        <v/>
      </c>
      <c r="G1593" s="1"/>
      <c r="L1593" s="39" t="str">
        <f t="shared" si="98"/>
        <v/>
      </c>
      <c r="T1593" s="39" t="str">
        <f t="shared" si="99"/>
        <v/>
      </c>
    </row>
    <row r="1594" spans="4:20" x14ac:dyDescent="0.25">
      <c r="D1594" s="38" t="str">
        <f t="shared" si="96"/>
        <v/>
      </c>
      <c r="E1594" s="38" t="str">
        <f t="shared" si="97"/>
        <v/>
      </c>
      <c r="G1594" s="1"/>
      <c r="L1594" s="39" t="str">
        <f t="shared" si="98"/>
        <v/>
      </c>
      <c r="T1594" s="39" t="str">
        <f t="shared" si="99"/>
        <v/>
      </c>
    </row>
    <row r="1595" spans="4:20" x14ac:dyDescent="0.25">
      <c r="D1595" s="38" t="str">
        <f t="shared" si="96"/>
        <v/>
      </c>
      <c r="E1595" s="38" t="str">
        <f t="shared" si="97"/>
        <v/>
      </c>
      <c r="G1595" s="1"/>
      <c r="L1595" s="39" t="str">
        <f t="shared" si="98"/>
        <v/>
      </c>
      <c r="T1595" s="39" t="str">
        <f t="shared" si="99"/>
        <v/>
      </c>
    </row>
    <row r="1596" spans="4:20" x14ac:dyDescent="0.25">
      <c r="D1596" s="38" t="str">
        <f t="shared" si="96"/>
        <v/>
      </c>
      <c r="E1596" s="38" t="str">
        <f t="shared" si="97"/>
        <v/>
      </c>
      <c r="G1596" s="1"/>
      <c r="L1596" s="39" t="str">
        <f t="shared" si="98"/>
        <v/>
      </c>
      <c r="T1596" s="39" t="str">
        <f t="shared" si="99"/>
        <v/>
      </c>
    </row>
    <row r="1597" spans="4:20" x14ac:dyDescent="0.25">
      <c r="D1597" s="38" t="str">
        <f t="shared" si="96"/>
        <v/>
      </c>
      <c r="E1597" s="38" t="str">
        <f t="shared" si="97"/>
        <v/>
      </c>
      <c r="G1597" s="1"/>
      <c r="L1597" s="39" t="str">
        <f t="shared" si="98"/>
        <v/>
      </c>
      <c r="T1597" s="39" t="str">
        <f t="shared" si="99"/>
        <v/>
      </c>
    </row>
    <row r="1598" spans="4:20" x14ac:dyDescent="0.25">
      <c r="D1598" s="38" t="str">
        <f t="shared" si="96"/>
        <v/>
      </c>
      <c r="E1598" s="38" t="str">
        <f t="shared" si="97"/>
        <v/>
      </c>
      <c r="G1598" s="1"/>
      <c r="L1598" s="39" t="str">
        <f t="shared" si="98"/>
        <v/>
      </c>
      <c r="T1598" s="39" t="str">
        <f t="shared" si="99"/>
        <v/>
      </c>
    </row>
    <row r="1599" spans="4:20" x14ac:dyDescent="0.25">
      <c r="D1599" s="38" t="str">
        <f t="shared" si="96"/>
        <v/>
      </c>
      <c r="E1599" s="38" t="str">
        <f t="shared" si="97"/>
        <v/>
      </c>
      <c r="G1599" s="1"/>
      <c r="L1599" s="39" t="str">
        <f t="shared" si="98"/>
        <v/>
      </c>
      <c r="T1599" s="39" t="str">
        <f t="shared" si="99"/>
        <v/>
      </c>
    </row>
    <row r="1600" spans="4:20" x14ac:dyDescent="0.25">
      <c r="D1600" s="38" t="str">
        <f t="shared" si="96"/>
        <v/>
      </c>
      <c r="E1600" s="38" t="str">
        <f t="shared" si="97"/>
        <v/>
      </c>
      <c r="G1600" s="1"/>
      <c r="L1600" s="39" t="str">
        <f t="shared" si="98"/>
        <v/>
      </c>
      <c r="T1600" s="39" t="str">
        <f t="shared" si="99"/>
        <v/>
      </c>
    </row>
    <row r="1601" spans="4:20" x14ac:dyDescent="0.25">
      <c r="D1601" s="38" t="str">
        <f t="shared" si="96"/>
        <v/>
      </c>
      <c r="E1601" s="38" t="str">
        <f t="shared" si="97"/>
        <v/>
      </c>
      <c r="G1601" s="1"/>
      <c r="L1601" s="39" t="str">
        <f t="shared" si="98"/>
        <v/>
      </c>
      <c r="T1601" s="39" t="str">
        <f t="shared" si="99"/>
        <v/>
      </c>
    </row>
    <row r="1602" spans="4:20" x14ac:dyDescent="0.25">
      <c r="D1602" s="38" t="str">
        <f t="shared" ref="D1602:D1665" si="100">IF($B1602="", "", CHOOSE(MONTH($B1602), "Gennaio","Febbraio","Marzo","Aprile","Maggio","Giugno","Luglio","Agosto","Settembre","Ottobre","Novembre","Dicembre"))</f>
        <v/>
      </c>
      <c r="E1602" s="38" t="str">
        <f t="shared" ref="E1602:E1665" si="101">IF($B1602="", "", CHOOSE(WEEKDAY($B1602,2), "Lunedì","Martedì","Mercoledì","Giovedì","Venerdì","Sabato","Domenica"))</f>
        <v/>
      </c>
      <c r="G1602" s="1"/>
      <c r="L1602" s="39" t="str">
        <f t="shared" ref="L1602:L1665" si="102">IF($K1602="Target", $G1602*$H1602, IF($K1602="Stop Loss", -$G1602, IF($K1602="Breakeven", 0, "")))</f>
        <v/>
      </c>
      <c r="T1602" s="39" t="str">
        <f t="shared" si="99"/>
        <v/>
      </c>
    </row>
    <row r="1603" spans="4:20" x14ac:dyDescent="0.25">
      <c r="D1603" s="38" t="str">
        <f t="shared" si="100"/>
        <v/>
      </c>
      <c r="E1603" s="38" t="str">
        <f t="shared" si="101"/>
        <v/>
      </c>
      <c r="G1603" s="1"/>
      <c r="L1603" s="39" t="str">
        <f t="shared" si="102"/>
        <v/>
      </c>
      <c r="T1603" s="39" t="str">
        <f t="shared" ref="T1603:T1666" si="103">IF($L1603="", "", $T1602 + $L1603)</f>
        <v/>
      </c>
    </row>
    <row r="1604" spans="4:20" x14ac:dyDescent="0.25">
      <c r="D1604" s="38" t="str">
        <f t="shared" si="100"/>
        <v/>
      </c>
      <c r="E1604" s="38" t="str">
        <f t="shared" si="101"/>
        <v/>
      </c>
      <c r="G1604" s="1"/>
      <c r="L1604" s="39" t="str">
        <f t="shared" si="102"/>
        <v/>
      </c>
      <c r="T1604" s="39" t="str">
        <f t="shared" si="103"/>
        <v/>
      </c>
    </row>
    <row r="1605" spans="4:20" x14ac:dyDescent="0.25">
      <c r="D1605" s="38" t="str">
        <f t="shared" si="100"/>
        <v/>
      </c>
      <c r="E1605" s="38" t="str">
        <f t="shared" si="101"/>
        <v/>
      </c>
      <c r="G1605" s="1"/>
      <c r="L1605" s="39" t="str">
        <f t="shared" si="102"/>
        <v/>
      </c>
      <c r="T1605" s="39" t="str">
        <f t="shared" si="103"/>
        <v/>
      </c>
    </row>
    <row r="1606" spans="4:20" x14ac:dyDescent="0.25">
      <c r="D1606" s="38" t="str">
        <f t="shared" si="100"/>
        <v/>
      </c>
      <c r="E1606" s="38" t="str">
        <f t="shared" si="101"/>
        <v/>
      </c>
      <c r="G1606" s="1"/>
      <c r="L1606" s="39" t="str">
        <f t="shared" si="102"/>
        <v/>
      </c>
      <c r="T1606" s="39" t="str">
        <f t="shared" si="103"/>
        <v/>
      </c>
    </row>
    <row r="1607" spans="4:20" x14ac:dyDescent="0.25">
      <c r="D1607" s="38" t="str">
        <f t="shared" si="100"/>
        <v/>
      </c>
      <c r="E1607" s="38" t="str">
        <f t="shared" si="101"/>
        <v/>
      </c>
      <c r="G1607" s="1"/>
      <c r="L1607" s="39" t="str">
        <f t="shared" si="102"/>
        <v/>
      </c>
      <c r="T1607" s="39" t="str">
        <f t="shared" si="103"/>
        <v/>
      </c>
    </row>
    <row r="1608" spans="4:20" x14ac:dyDescent="0.25">
      <c r="D1608" s="38" t="str">
        <f t="shared" si="100"/>
        <v/>
      </c>
      <c r="E1608" s="38" t="str">
        <f t="shared" si="101"/>
        <v/>
      </c>
      <c r="G1608" s="1"/>
      <c r="L1608" s="39" t="str">
        <f t="shared" si="102"/>
        <v/>
      </c>
      <c r="T1608" s="39" t="str">
        <f t="shared" si="103"/>
        <v/>
      </c>
    </row>
    <row r="1609" spans="4:20" x14ac:dyDescent="0.25">
      <c r="D1609" s="38" t="str">
        <f t="shared" si="100"/>
        <v/>
      </c>
      <c r="E1609" s="38" t="str">
        <f t="shared" si="101"/>
        <v/>
      </c>
      <c r="G1609" s="1"/>
      <c r="L1609" s="39" t="str">
        <f t="shared" si="102"/>
        <v/>
      </c>
      <c r="T1609" s="39" t="str">
        <f t="shared" si="103"/>
        <v/>
      </c>
    </row>
    <row r="1610" spans="4:20" x14ac:dyDescent="0.25">
      <c r="D1610" s="38" t="str">
        <f t="shared" si="100"/>
        <v/>
      </c>
      <c r="E1610" s="38" t="str">
        <f t="shared" si="101"/>
        <v/>
      </c>
      <c r="G1610" s="1"/>
      <c r="L1610" s="39" t="str">
        <f t="shared" si="102"/>
        <v/>
      </c>
      <c r="T1610" s="39" t="str">
        <f t="shared" si="103"/>
        <v/>
      </c>
    </row>
    <row r="1611" spans="4:20" x14ac:dyDescent="0.25">
      <c r="D1611" s="38" t="str">
        <f t="shared" si="100"/>
        <v/>
      </c>
      <c r="E1611" s="38" t="str">
        <f t="shared" si="101"/>
        <v/>
      </c>
      <c r="G1611" s="1"/>
      <c r="L1611" s="39" t="str">
        <f t="shared" si="102"/>
        <v/>
      </c>
      <c r="T1611" s="39" t="str">
        <f t="shared" si="103"/>
        <v/>
      </c>
    </row>
    <row r="1612" spans="4:20" x14ac:dyDescent="0.25">
      <c r="D1612" s="38" t="str">
        <f t="shared" si="100"/>
        <v/>
      </c>
      <c r="E1612" s="38" t="str">
        <f t="shared" si="101"/>
        <v/>
      </c>
      <c r="G1612" s="1"/>
      <c r="L1612" s="39" t="str">
        <f t="shared" si="102"/>
        <v/>
      </c>
      <c r="T1612" s="39" t="str">
        <f t="shared" si="103"/>
        <v/>
      </c>
    </row>
    <row r="1613" spans="4:20" x14ac:dyDescent="0.25">
      <c r="D1613" s="38" t="str">
        <f t="shared" si="100"/>
        <v/>
      </c>
      <c r="E1613" s="38" t="str">
        <f t="shared" si="101"/>
        <v/>
      </c>
      <c r="G1613" s="1"/>
      <c r="L1613" s="39" t="str">
        <f t="shared" si="102"/>
        <v/>
      </c>
      <c r="T1613" s="39" t="str">
        <f t="shared" si="103"/>
        <v/>
      </c>
    </row>
    <row r="1614" spans="4:20" x14ac:dyDescent="0.25">
      <c r="D1614" s="38" t="str">
        <f t="shared" si="100"/>
        <v/>
      </c>
      <c r="E1614" s="38" t="str">
        <f t="shared" si="101"/>
        <v/>
      </c>
      <c r="G1614" s="1"/>
      <c r="L1614" s="39" t="str">
        <f t="shared" si="102"/>
        <v/>
      </c>
      <c r="T1614" s="39" t="str">
        <f t="shared" si="103"/>
        <v/>
      </c>
    </row>
    <row r="1615" spans="4:20" x14ac:dyDescent="0.25">
      <c r="D1615" s="38" t="str">
        <f t="shared" si="100"/>
        <v/>
      </c>
      <c r="E1615" s="38" t="str">
        <f t="shared" si="101"/>
        <v/>
      </c>
      <c r="G1615" s="1"/>
      <c r="L1615" s="39" t="str">
        <f t="shared" si="102"/>
        <v/>
      </c>
      <c r="T1615" s="39" t="str">
        <f t="shared" si="103"/>
        <v/>
      </c>
    </row>
    <row r="1616" spans="4:20" x14ac:dyDescent="0.25">
      <c r="D1616" s="38" t="str">
        <f t="shared" si="100"/>
        <v/>
      </c>
      <c r="E1616" s="38" t="str">
        <f t="shared" si="101"/>
        <v/>
      </c>
      <c r="G1616" s="1"/>
      <c r="L1616" s="39" t="str">
        <f t="shared" si="102"/>
        <v/>
      </c>
      <c r="T1616" s="39" t="str">
        <f t="shared" si="103"/>
        <v/>
      </c>
    </row>
    <row r="1617" spans="4:20" x14ac:dyDescent="0.25">
      <c r="D1617" s="38" t="str">
        <f t="shared" si="100"/>
        <v/>
      </c>
      <c r="E1617" s="38" t="str">
        <f t="shared" si="101"/>
        <v/>
      </c>
      <c r="G1617" s="1"/>
      <c r="L1617" s="39" t="str">
        <f t="shared" si="102"/>
        <v/>
      </c>
      <c r="T1617" s="39" t="str">
        <f t="shared" si="103"/>
        <v/>
      </c>
    </row>
    <row r="1618" spans="4:20" x14ac:dyDescent="0.25">
      <c r="D1618" s="38" t="str">
        <f t="shared" si="100"/>
        <v/>
      </c>
      <c r="E1618" s="38" t="str">
        <f t="shared" si="101"/>
        <v/>
      </c>
      <c r="G1618" s="1"/>
      <c r="L1618" s="39" t="str">
        <f t="shared" si="102"/>
        <v/>
      </c>
      <c r="T1618" s="39" t="str">
        <f t="shared" si="103"/>
        <v/>
      </c>
    </row>
    <row r="1619" spans="4:20" x14ac:dyDescent="0.25">
      <c r="D1619" s="38" t="str">
        <f t="shared" si="100"/>
        <v/>
      </c>
      <c r="E1619" s="38" t="str">
        <f t="shared" si="101"/>
        <v/>
      </c>
      <c r="G1619" s="1"/>
      <c r="L1619" s="39" t="str">
        <f t="shared" si="102"/>
        <v/>
      </c>
      <c r="T1619" s="39" t="str">
        <f t="shared" si="103"/>
        <v/>
      </c>
    </row>
    <row r="1620" spans="4:20" x14ac:dyDescent="0.25">
      <c r="D1620" s="38" t="str">
        <f t="shared" si="100"/>
        <v/>
      </c>
      <c r="E1620" s="38" t="str">
        <f t="shared" si="101"/>
        <v/>
      </c>
      <c r="G1620" s="1"/>
      <c r="L1620" s="39" t="str">
        <f t="shared" si="102"/>
        <v/>
      </c>
      <c r="T1620" s="39" t="str">
        <f t="shared" si="103"/>
        <v/>
      </c>
    </row>
    <row r="1621" spans="4:20" x14ac:dyDescent="0.25">
      <c r="D1621" s="38" t="str">
        <f t="shared" si="100"/>
        <v/>
      </c>
      <c r="E1621" s="38" t="str">
        <f t="shared" si="101"/>
        <v/>
      </c>
      <c r="G1621" s="1"/>
      <c r="L1621" s="39" t="str">
        <f t="shared" si="102"/>
        <v/>
      </c>
      <c r="T1621" s="39" t="str">
        <f t="shared" si="103"/>
        <v/>
      </c>
    </row>
    <row r="1622" spans="4:20" x14ac:dyDescent="0.25">
      <c r="D1622" s="38" t="str">
        <f t="shared" si="100"/>
        <v/>
      </c>
      <c r="E1622" s="38" t="str">
        <f t="shared" si="101"/>
        <v/>
      </c>
      <c r="G1622" s="1"/>
      <c r="L1622" s="39" t="str">
        <f t="shared" si="102"/>
        <v/>
      </c>
      <c r="T1622" s="39" t="str">
        <f t="shared" si="103"/>
        <v/>
      </c>
    </row>
    <row r="1623" spans="4:20" x14ac:dyDescent="0.25">
      <c r="D1623" s="38" t="str">
        <f t="shared" si="100"/>
        <v/>
      </c>
      <c r="E1623" s="38" t="str">
        <f t="shared" si="101"/>
        <v/>
      </c>
      <c r="G1623" s="1"/>
      <c r="L1623" s="39" t="str">
        <f t="shared" si="102"/>
        <v/>
      </c>
      <c r="T1623" s="39" t="str">
        <f t="shared" si="103"/>
        <v/>
      </c>
    </row>
    <row r="1624" spans="4:20" x14ac:dyDescent="0.25">
      <c r="D1624" s="38" t="str">
        <f t="shared" si="100"/>
        <v/>
      </c>
      <c r="E1624" s="38" t="str">
        <f t="shared" si="101"/>
        <v/>
      </c>
      <c r="G1624" s="1"/>
      <c r="L1624" s="39" t="str">
        <f t="shared" si="102"/>
        <v/>
      </c>
      <c r="T1624" s="39" t="str">
        <f t="shared" si="103"/>
        <v/>
      </c>
    </row>
    <row r="1625" spans="4:20" x14ac:dyDescent="0.25">
      <c r="D1625" s="38" t="str">
        <f t="shared" si="100"/>
        <v/>
      </c>
      <c r="E1625" s="38" t="str">
        <f t="shared" si="101"/>
        <v/>
      </c>
      <c r="G1625" s="1"/>
      <c r="L1625" s="39" t="str">
        <f t="shared" si="102"/>
        <v/>
      </c>
      <c r="T1625" s="39" t="str">
        <f t="shared" si="103"/>
        <v/>
      </c>
    </row>
    <row r="1626" spans="4:20" x14ac:dyDescent="0.25">
      <c r="D1626" s="38" t="str">
        <f t="shared" si="100"/>
        <v/>
      </c>
      <c r="E1626" s="38" t="str">
        <f t="shared" si="101"/>
        <v/>
      </c>
      <c r="G1626" s="1"/>
      <c r="L1626" s="39" t="str">
        <f t="shared" si="102"/>
        <v/>
      </c>
      <c r="T1626" s="39" t="str">
        <f t="shared" si="103"/>
        <v/>
      </c>
    </row>
    <row r="1627" spans="4:20" x14ac:dyDescent="0.25">
      <c r="D1627" s="38" t="str">
        <f t="shared" si="100"/>
        <v/>
      </c>
      <c r="E1627" s="38" t="str">
        <f t="shared" si="101"/>
        <v/>
      </c>
      <c r="G1627" s="1"/>
      <c r="L1627" s="39" t="str">
        <f t="shared" si="102"/>
        <v/>
      </c>
      <c r="T1627" s="39" t="str">
        <f t="shared" si="103"/>
        <v/>
      </c>
    </row>
    <row r="1628" spans="4:20" x14ac:dyDescent="0.25">
      <c r="D1628" s="38" t="str">
        <f t="shared" si="100"/>
        <v/>
      </c>
      <c r="E1628" s="38" t="str">
        <f t="shared" si="101"/>
        <v/>
      </c>
      <c r="G1628" s="1"/>
      <c r="L1628" s="39" t="str">
        <f t="shared" si="102"/>
        <v/>
      </c>
      <c r="T1628" s="39" t="str">
        <f t="shared" si="103"/>
        <v/>
      </c>
    </row>
    <row r="1629" spans="4:20" x14ac:dyDescent="0.25">
      <c r="D1629" s="38" t="str">
        <f t="shared" si="100"/>
        <v/>
      </c>
      <c r="E1629" s="38" t="str">
        <f t="shared" si="101"/>
        <v/>
      </c>
      <c r="G1629" s="1"/>
      <c r="L1629" s="39" t="str">
        <f t="shared" si="102"/>
        <v/>
      </c>
      <c r="T1629" s="39" t="str">
        <f t="shared" si="103"/>
        <v/>
      </c>
    </row>
    <row r="1630" spans="4:20" x14ac:dyDescent="0.25">
      <c r="D1630" s="38" t="str">
        <f t="shared" si="100"/>
        <v/>
      </c>
      <c r="E1630" s="38" t="str">
        <f t="shared" si="101"/>
        <v/>
      </c>
      <c r="G1630" s="1"/>
      <c r="L1630" s="39" t="str">
        <f t="shared" si="102"/>
        <v/>
      </c>
      <c r="T1630" s="39" t="str">
        <f t="shared" si="103"/>
        <v/>
      </c>
    </row>
    <row r="1631" spans="4:20" x14ac:dyDescent="0.25">
      <c r="D1631" s="38" t="str">
        <f t="shared" si="100"/>
        <v/>
      </c>
      <c r="E1631" s="38" t="str">
        <f t="shared" si="101"/>
        <v/>
      </c>
      <c r="G1631" s="1"/>
      <c r="L1631" s="39" t="str">
        <f t="shared" si="102"/>
        <v/>
      </c>
      <c r="T1631" s="39" t="str">
        <f t="shared" si="103"/>
        <v/>
      </c>
    </row>
    <row r="1632" spans="4:20" x14ac:dyDescent="0.25">
      <c r="D1632" s="38" t="str">
        <f t="shared" si="100"/>
        <v/>
      </c>
      <c r="E1632" s="38" t="str">
        <f t="shared" si="101"/>
        <v/>
      </c>
      <c r="G1632" s="1"/>
      <c r="L1632" s="39" t="str">
        <f t="shared" si="102"/>
        <v/>
      </c>
      <c r="T1632" s="39" t="str">
        <f t="shared" si="103"/>
        <v/>
      </c>
    </row>
    <row r="1633" spans="4:20" x14ac:dyDescent="0.25">
      <c r="D1633" s="38" t="str">
        <f t="shared" si="100"/>
        <v/>
      </c>
      <c r="E1633" s="38" t="str">
        <f t="shared" si="101"/>
        <v/>
      </c>
      <c r="G1633" s="1"/>
      <c r="L1633" s="39" t="str">
        <f t="shared" si="102"/>
        <v/>
      </c>
      <c r="T1633" s="39" t="str">
        <f t="shared" si="103"/>
        <v/>
      </c>
    </row>
    <row r="1634" spans="4:20" x14ac:dyDescent="0.25">
      <c r="D1634" s="38" t="str">
        <f t="shared" si="100"/>
        <v/>
      </c>
      <c r="E1634" s="38" t="str">
        <f t="shared" si="101"/>
        <v/>
      </c>
      <c r="G1634" s="1"/>
      <c r="L1634" s="39" t="str">
        <f t="shared" si="102"/>
        <v/>
      </c>
      <c r="T1634" s="39" t="str">
        <f t="shared" si="103"/>
        <v/>
      </c>
    </row>
    <row r="1635" spans="4:20" x14ac:dyDescent="0.25">
      <c r="D1635" s="38" t="str">
        <f t="shared" si="100"/>
        <v/>
      </c>
      <c r="E1635" s="38" t="str">
        <f t="shared" si="101"/>
        <v/>
      </c>
      <c r="G1635" s="1"/>
      <c r="L1635" s="39" t="str">
        <f t="shared" si="102"/>
        <v/>
      </c>
      <c r="T1635" s="39" t="str">
        <f t="shared" si="103"/>
        <v/>
      </c>
    </row>
    <row r="1636" spans="4:20" x14ac:dyDescent="0.25">
      <c r="D1636" s="38" t="str">
        <f t="shared" si="100"/>
        <v/>
      </c>
      <c r="E1636" s="38" t="str">
        <f t="shared" si="101"/>
        <v/>
      </c>
      <c r="G1636" s="1"/>
      <c r="L1636" s="39" t="str">
        <f t="shared" si="102"/>
        <v/>
      </c>
      <c r="T1636" s="39" t="str">
        <f t="shared" si="103"/>
        <v/>
      </c>
    </row>
    <row r="1637" spans="4:20" x14ac:dyDescent="0.25">
      <c r="D1637" s="38" t="str">
        <f t="shared" si="100"/>
        <v/>
      </c>
      <c r="E1637" s="38" t="str">
        <f t="shared" si="101"/>
        <v/>
      </c>
      <c r="G1637" s="1"/>
      <c r="L1637" s="39" t="str">
        <f t="shared" si="102"/>
        <v/>
      </c>
      <c r="T1637" s="39" t="str">
        <f t="shared" si="103"/>
        <v/>
      </c>
    </row>
    <row r="1638" spans="4:20" x14ac:dyDescent="0.25">
      <c r="D1638" s="38" t="str">
        <f t="shared" si="100"/>
        <v/>
      </c>
      <c r="E1638" s="38" t="str">
        <f t="shared" si="101"/>
        <v/>
      </c>
      <c r="G1638" s="1"/>
      <c r="L1638" s="39" t="str">
        <f t="shared" si="102"/>
        <v/>
      </c>
      <c r="T1638" s="39" t="str">
        <f t="shared" si="103"/>
        <v/>
      </c>
    </row>
    <row r="1639" spans="4:20" x14ac:dyDescent="0.25">
      <c r="D1639" s="38" t="str">
        <f t="shared" si="100"/>
        <v/>
      </c>
      <c r="E1639" s="38" t="str">
        <f t="shared" si="101"/>
        <v/>
      </c>
      <c r="G1639" s="1"/>
      <c r="L1639" s="39" t="str">
        <f t="shared" si="102"/>
        <v/>
      </c>
      <c r="T1639" s="39" t="str">
        <f t="shared" si="103"/>
        <v/>
      </c>
    </row>
    <row r="1640" spans="4:20" x14ac:dyDescent="0.25">
      <c r="D1640" s="38" t="str">
        <f t="shared" si="100"/>
        <v/>
      </c>
      <c r="E1640" s="38" t="str">
        <f t="shared" si="101"/>
        <v/>
      </c>
      <c r="G1640" s="1"/>
      <c r="L1640" s="39" t="str">
        <f t="shared" si="102"/>
        <v/>
      </c>
      <c r="T1640" s="39" t="str">
        <f t="shared" si="103"/>
        <v/>
      </c>
    </row>
    <row r="1641" spans="4:20" x14ac:dyDescent="0.25">
      <c r="D1641" s="38" t="str">
        <f t="shared" si="100"/>
        <v/>
      </c>
      <c r="E1641" s="38" t="str">
        <f t="shared" si="101"/>
        <v/>
      </c>
      <c r="G1641" s="1"/>
      <c r="L1641" s="39" t="str">
        <f t="shared" si="102"/>
        <v/>
      </c>
      <c r="T1641" s="39" t="str">
        <f t="shared" si="103"/>
        <v/>
      </c>
    </row>
    <row r="1642" spans="4:20" x14ac:dyDescent="0.25">
      <c r="D1642" s="38" t="str">
        <f t="shared" si="100"/>
        <v/>
      </c>
      <c r="E1642" s="38" t="str">
        <f t="shared" si="101"/>
        <v/>
      </c>
      <c r="G1642" s="1"/>
      <c r="L1642" s="39" t="str">
        <f t="shared" si="102"/>
        <v/>
      </c>
      <c r="T1642" s="39" t="str">
        <f t="shared" si="103"/>
        <v/>
      </c>
    </row>
    <row r="1643" spans="4:20" x14ac:dyDescent="0.25">
      <c r="D1643" s="38" t="str">
        <f t="shared" si="100"/>
        <v/>
      </c>
      <c r="E1643" s="38" t="str">
        <f t="shared" si="101"/>
        <v/>
      </c>
      <c r="G1643" s="1"/>
      <c r="L1643" s="39" t="str">
        <f t="shared" si="102"/>
        <v/>
      </c>
      <c r="T1643" s="39" t="str">
        <f t="shared" si="103"/>
        <v/>
      </c>
    </row>
    <row r="1644" spans="4:20" x14ac:dyDescent="0.25">
      <c r="D1644" s="38" t="str">
        <f t="shared" si="100"/>
        <v/>
      </c>
      <c r="E1644" s="38" t="str">
        <f t="shared" si="101"/>
        <v/>
      </c>
      <c r="G1644" s="1"/>
      <c r="L1644" s="39" t="str">
        <f t="shared" si="102"/>
        <v/>
      </c>
      <c r="T1644" s="39" t="str">
        <f t="shared" si="103"/>
        <v/>
      </c>
    </row>
    <row r="1645" spans="4:20" x14ac:dyDescent="0.25">
      <c r="D1645" s="38" t="str">
        <f t="shared" si="100"/>
        <v/>
      </c>
      <c r="E1645" s="38" t="str">
        <f t="shared" si="101"/>
        <v/>
      </c>
      <c r="G1645" s="1"/>
      <c r="L1645" s="39" t="str">
        <f t="shared" si="102"/>
        <v/>
      </c>
      <c r="T1645" s="39" t="str">
        <f t="shared" si="103"/>
        <v/>
      </c>
    </row>
    <row r="1646" spans="4:20" x14ac:dyDescent="0.25">
      <c r="D1646" s="38" t="str">
        <f t="shared" si="100"/>
        <v/>
      </c>
      <c r="E1646" s="38" t="str">
        <f t="shared" si="101"/>
        <v/>
      </c>
      <c r="G1646" s="1"/>
      <c r="L1646" s="39" t="str">
        <f t="shared" si="102"/>
        <v/>
      </c>
      <c r="T1646" s="39" t="str">
        <f t="shared" si="103"/>
        <v/>
      </c>
    </row>
    <row r="1647" spans="4:20" x14ac:dyDescent="0.25">
      <c r="D1647" s="38" t="str">
        <f t="shared" si="100"/>
        <v/>
      </c>
      <c r="E1647" s="38" t="str">
        <f t="shared" si="101"/>
        <v/>
      </c>
      <c r="G1647" s="1"/>
      <c r="L1647" s="39" t="str">
        <f t="shared" si="102"/>
        <v/>
      </c>
      <c r="T1647" s="39" t="str">
        <f t="shared" si="103"/>
        <v/>
      </c>
    </row>
    <row r="1648" spans="4:20" x14ac:dyDescent="0.25">
      <c r="D1648" s="38" t="str">
        <f t="shared" si="100"/>
        <v/>
      </c>
      <c r="E1648" s="38" t="str">
        <f t="shared" si="101"/>
        <v/>
      </c>
      <c r="G1648" s="1"/>
      <c r="L1648" s="39" t="str">
        <f t="shared" si="102"/>
        <v/>
      </c>
      <c r="T1648" s="39" t="str">
        <f t="shared" si="103"/>
        <v/>
      </c>
    </row>
    <row r="1649" spans="4:20" x14ac:dyDescent="0.25">
      <c r="D1649" s="38" t="str">
        <f t="shared" si="100"/>
        <v/>
      </c>
      <c r="E1649" s="38" t="str">
        <f t="shared" si="101"/>
        <v/>
      </c>
      <c r="G1649" s="1"/>
      <c r="L1649" s="39" t="str">
        <f t="shared" si="102"/>
        <v/>
      </c>
      <c r="T1649" s="39" t="str">
        <f t="shared" si="103"/>
        <v/>
      </c>
    </row>
    <row r="1650" spans="4:20" x14ac:dyDescent="0.25">
      <c r="D1650" s="38" t="str">
        <f t="shared" si="100"/>
        <v/>
      </c>
      <c r="E1650" s="38" t="str">
        <f t="shared" si="101"/>
        <v/>
      </c>
      <c r="G1650" s="1"/>
      <c r="L1650" s="39" t="str">
        <f t="shared" si="102"/>
        <v/>
      </c>
      <c r="T1650" s="39" t="str">
        <f t="shared" si="103"/>
        <v/>
      </c>
    </row>
    <row r="1651" spans="4:20" x14ac:dyDescent="0.25">
      <c r="D1651" s="38" t="str">
        <f t="shared" si="100"/>
        <v/>
      </c>
      <c r="E1651" s="38" t="str">
        <f t="shared" si="101"/>
        <v/>
      </c>
      <c r="G1651" s="1"/>
      <c r="L1651" s="39" t="str">
        <f t="shared" si="102"/>
        <v/>
      </c>
      <c r="T1651" s="39" t="str">
        <f t="shared" si="103"/>
        <v/>
      </c>
    </row>
    <row r="1652" spans="4:20" x14ac:dyDescent="0.25">
      <c r="D1652" s="38" t="str">
        <f t="shared" si="100"/>
        <v/>
      </c>
      <c r="E1652" s="38" t="str">
        <f t="shared" si="101"/>
        <v/>
      </c>
      <c r="G1652" s="1"/>
      <c r="L1652" s="39" t="str">
        <f t="shared" si="102"/>
        <v/>
      </c>
      <c r="T1652" s="39" t="str">
        <f t="shared" si="103"/>
        <v/>
      </c>
    </row>
    <row r="1653" spans="4:20" x14ac:dyDescent="0.25">
      <c r="D1653" s="38" t="str">
        <f t="shared" si="100"/>
        <v/>
      </c>
      <c r="E1653" s="38" t="str">
        <f t="shared" si="101"/>
        <v/>
      </c>
      <c r="G1653" s="1"/>
      <c r="L1653" s="39" t="str">
        <f t="shared" si="102"/>
        <v/>
      </c>
      <c r="T1653" s="39" t="str">
        <f t="shared" si="103"/>
        <v/>
      </c>
    </row>
    <row r="1654" spans="4:20" x14ac:dyDescent="0.25">
      <c r="D1654" s="38" t="str">
        <f t="shared" si="100"/>
        <v/>
      </c>
      <c r="E1654" s="38" t="str">
        <f t="shared" si="101"/>
        <v/>
      </c>
      <c r="G1654" s="1"/>
      <c r="L1654" s="39" t="str">
        <f t="shared" si="102"/>
        <v/>
      </c>
      <c r="T1654" s="39" t="str">
        <f t="shared" si="103"/>
        <v/>
      </c>
    </row>
    <row r="1655" spans="4:20" x14ac:dyDescent="0.25">
      <c r="D1655" s="38" t="str">
        <f t="shared" si="100"/>
        <v/>
      </c>
      <c r="E1655" s="38" t="str">
        <f t="shared" si="101"/>
        <v/>
      </c>
      <c r="G1655" s="1"/>
      <c r="L1655" s="39" t="str">
        <f t="shared" si="102"/>
        <v/>
      </c>
      <c r="T1655" s="39" t="str">
        <f t="shared" si="103"/>
        <v/>
      </c>
    </row>
    <row r="1656" spans="4:20" x14ac:dyDescent="0.25">
      <c r="D1656" s="38" t="str">
        <f t="shared" si="100"/>
        <v/>
      </c>
      <c r="E1656" s="38" t="str">
        <f t="shared" si="101"/>
        <v/>
      </c>
      <c r="G1656" s="1"/>
      <c r="L1656" s="39" t="str">
        <f t="shared" si="102"/>
        <v/>
      </c>
      <c r="T1656" s="39" t="str">
        <f t="shared" si="103"/>
        <v/>
      </c>
    </row>
    <row r="1657" spans="4:20" x14ac:dyDescent="0.25">
      <c r="D1657" s="38" t="str">
        <f t="shared" si="100"/>
        <v/>
      </c>
      <c r="E1657" s="38" t="str">
        <f t="shared" si="101"/>
        <v/>
      </c>
      <c r="G1657" s="1"/>
      <c r="L1657" s="39" t="str">
        <f t="shared" si="102"/>
        <v/>
      </c>
      <c r="T1657" s="39" t="str">
        <f t="shared" si="103"/>
        <v/>
      </c>
    </row>
    <row r="1658" spans="4:20" x14ac:dyDescent="0.25">
      <c r="D1658" s="38" t="str">
        <f t="shared" si="100"/>
        <v/>
      </c>
      <c r="E1658" s="38" t="str">
        <f t="shared" si="101"/>
        <v/>
      </c>
      <c r="G1658" s="1"/>
      <c r="L1658" s="39" t="str">
        <f t="shared" si="102"/>
        <v/>
      </c>
      <c r="T1658" s="39" t="str">
        <f t="shared" si="103"/>
        <v/>
      </c>
    </row>
    <row r="1659" spans="4:20" x14ac:dyDescent="0.25">
      <c r="D1659" s="38" t="str">
        <f t="shared" si="100"/>
        <v/>
      </c>
      <c r="E1659" s="38" t="str">
        <f t="shared" si="101"/>
        <v/>
      </c>
      <c r="G1659" s="1"/>
      <c r="L1659" s="39" t="str">
        <f t="shared" si="102"/>
        <v/>
      </c>
      <c r="T1659" s="39" t="str">
        <f t="shared" si="103"/>
        <v/>
      </c>
    </row>
    <row r="1660" spans="4:20" x14ac:dyDescent="0.25">
      <c r="D1660" s="38" t="str">
        <f t="shared" si="100"/>
        <v/>
      </c>
      <c r="E1660" s="38" t="str">
        <f t="shared" si="101"/>
        <v/>
      </c>
      <c r="G1660" s="1"/>
      <c r="L1660" s="39" t="str">
        <f t="shared" si="102"/>
        <v/>
      </c>
      <c r="T1660" s="39" t="str">
        <f t="shared" si="103"/>
        <v/>
      </c>
    </row>
    <row r="1661" spans="4:20" x14ac:dyDescent="0.25">
      <c r="D1661" s="38" t="str">
        <f t="shared" si="100"/>
        <v/>
      </c>
      <c r="E1661" s="38" t="str">
        <f t="shared" si="101"/>
        <v/>
      </c>
      <c r="G1661" s="1"/>
      <c r="L1661" s="39" t="str">
        <f t="shared" si="102"/>
        <v/>
      </c>
      <c r="T1661" s="39" t="str">
        <f t="shared" si="103"/>
        <v/>
      </c>
    </row>
    <row r="1662" spans="4:20" x14ac:dyDescent="0.25">
      <c r="D1662" s="38" t="str">
        <f t="shared" si="100"/>
        <v/>
      </c>
      <c r="E1662" s="38" t="str">
        <f t="shared" si="101"/>
        <v/>
      </c>
      <c r="G1662" s="1"/>
      <c r="L1662" s="39" t="str">
        <f t="shared" si="102"/>
        <v/>
      </c>
      <c r="T1662" s="39" t="str">
        <f t="shared" si="103"/>
        <v/>
      </c>
    </row>
    <row r="1663" spans="4:20" x14ac:dyDescent="0.25">
      <c r="D1663" s="38" t="str">
        <f t="shared" si="100"/>
        <v/>
      </c>
      <c r="E1663" s="38" t="str">
        <f t="shared" si="101"/>
        <v/>
      </c>
      <c r="G1663" s="1"/>
      <c r="L1663" s="39" t="str">
        <f t="shared" si="102"/>
        <v/>
      </c>
      <c r="T1663" s="39" t="str">
        <f t="shared" si="103"/>
        <v/>
      </c>
    </row>
    <row r="1664" spans="4:20" x14ac:dyDescent="0.25">
      <c r="D1664" s="38" t="str">
        <f t="shared" si="100"/>
        <v/>
      </c>
      <c r="E1664" s="38" t="str">
        <f t="shared" si="101"/>
        <v/>
      </c>
      <c r="G1664" s="1"/>
      <c r="L1664" s="39" t="str">
        <f t="shared" si="102"/>
        <v/>
      </c>
      <c r="T1664" s="39" t="str">
        <f t="shared" si="103"/>
        <v/>
      </c>
    </row>
    <row r="1665" spans="4:20" x14ac:dyDescent="0.25">
      <c r="D1665" s="38" t="str">
        <f t="shared" si="100"/>
        <v/>
      </c>
      <c r="E1665" s="38" t="str">
        <f t="shared" si="101"/>
        <v/>
      </c>
      <c r="G1665" s="1"/>
      <c r="L1665" s="39" t="str">
        <f t="shared" si="102"/>
        <v/>
      </c>
      <c r="T1665" s="39" t="str">
        <f t="shared" si="103"/>
        <v/>
      </c>
    </row>
    <row r="1666" spans="4:20" x14ac:dyDescent="0.25">
      <c r="D1666" s="38" t="str">
        <f t="shared" ref="D1666:D1729" si="104">IF($B1666="", "", CHOOSE(MONTH($B1666), "Gennaio","Febbraio","Marzo","Aprile","Maggio","Giugno","Luglio","Agosto","Settembre","Ottobre","Novembre","Dicembre"))</f>
        <v/>
      </c>
      <c r="E1666" s="38" t="str">
        <f t="shared" ref="E1666:E1729" si="105">IF($B1666="", "", CHOOSE(WEEKDAY($B1666,2), "Lunedì","Martedì","Mercoledì","Giovedì","Venerdì","Sabato","Domenica"))</f>
        <v/>
      </c>
      <c r="G1666" s="1"/>
      <c r="L1666" s="39" t="str">
        <f t="shared" ref="L1666:L1729" si="106">IF($K1666="Target", $G1666*$H1666, IF($K1666="Stop Loss", -$G1666, IF($K1666="Breakeven", 0, "")))</f>
        <v/>
      </c>
      <c r="T1666" s="39" t="str">
        <f t="shared" si="103"/>
        <v/>
      </c>
    </row>
    <row r="1667" spans="4:20" x14ac:dyDescent="0.25">
      <c r="D1667" s="38" t="str">
        <f t="shared" si="104"/>
        <v/>
      </c>
      <c r="E1667" s="38" t="str">
        <f t="shared" si="105"/>
        <v/>
      </c>
      <c r="G1667" s="1"/>
      <c r="L1667" s="39" t="str">
        <f t="shared" si="106"/>
        <v/>
      </c>
      <c r="T1667" s="39" t="str">
        <f t="shared" ref="T1667:T1730" si="107">IF($L1667="", "", $T1666 + $L1667)</f>
        <v/>
      </c>
    </row>
    <row r="1668" spans="4:20" x14ac:dyDescent="0.25">
      <c r="D1668" s="38" t="str">
        <f t="shared" si="104"/>
        <v/>
      </c>
      <c r="E1668" s="38" t="str">
        <f t="shared" si="105"/>
        <v/>
      </c>
      <c r="G1668" s="1"/>
      <c r="L1668" s="39" t="str">
        <f t="shared" si="106"/>
        <v/>
      </c>
      <c r="T1668" s="39" t="str">
        <f t="shared" si="107"/>
        <v/>
      </c>
    </row>
    <row r="1669" spans="4:20" x14ac:dyDescent="0.25">
      <c r="D1669" s="38" t="str">
        <f t="shared" si="104"/>
        <v/>
      </c>
      <c r="E1669" s="38" t="str">
        <f t="shared" si="105"/>
        <v/>
      </c>
      <c r="G1669" s="1"/>
      <c r="L1669" s="39" t="str">
        <f t="shared" si="106"/>
        <v/>
      </c>
      <c r="T1669" s="39" t="str">
        <f t="shared" si="107"/>
        <v/>
      </c>
    </row>
    <row r="1670" spans="4:20" x14ac:dyDescent="0.25">
      <c r="D1670" s="38" t="str">
        <f t="shared" si="104"/>
        <v/>
      </c>
      <c r="E1670" s="38" t="str">
        <f t="shared" si="105"/>
        <v/>
      </c>
      <c r="G1670" s="1"/>
      <c r="L1670" s="39" t="str">
        <f t="shared" si="106"/>
        <v/>
      </c>
      <c r="T1670" s="39" t="str">
        <f t="shared" si="107"/>
        <v/>
      </c>
    </row>
    <row r="1671" spans="4:20" x14ac:dyDescent="0.25">
      <c r="D1671" s="38" t="str">
        <f t="shared" si="104"/>
        <v/>
      </c>
      <c r="E1671" s="38" t="str">
        <f t="shared" si="105"/>
        <v/>
      </c>
      <c r="G1671" s="1"/>
      <c r="L1671" s="39" t="str">
        <f t="shared" si="106"/>
        <v/>
      </c>
      <c r="T1671" s="39" t="str">
        <f t="shared" si="107"/>
        <v/>
      </c>
    </row>
    <row r="1672" spans="4:20" x14ac:dyDescent="0.25">
      <c r="D1672" s="38" t="str">
        <f t="shared" si="104"/>
        <v/>
      </c>
      <c r="E1672" s="38" t="str">
        <f t="shared" si="105"/>
        <v/>
      </c>
      <c r="G1672" s="1"/>
      <c r="L1672" s="39" t="str">
        <f t="shared" si="106"/>
        <v/>
      </c>
      <c r="T1672" s="39" t="str">
        <f t="shared" si="107"/>
        <v/>
      </c>
    </row>
    <row r="1673" spans="4:20" x14ac:dyDescent="0.25">
      <c r="D1673" s="38" t="str">
        <f t="shared" si="104"/>
        <v/>
      </c>
      <c r="E1673" s="38" t="str">
        <f t="shared" si="105"/>
        <v/>
      </c>
      <c r="G1673" s="1"/>
      <c r="L1673" s="39" t="str">
        <f t="shared" si="106"/>
        <v/>
      </c>
      <c r="T1673" s="39" t="str">
        <f t="shared" si="107"/>
        <v/>
      </c>
    </row>
    <row r="1674" spans="4:20" x14ac:dyDescent="0.25">
      <c r="D1674" s="38" t="str">
        <f t="shared" si="104"/>
        <v/>
      </c>
      <c r="E1674" s="38" t="str">
        <f t="shared" si="105"/>
        <v/>
      </c>
      <c r="G1674" s="1"/>
      <c r="L1674" s="39" t="str">
        <f t="shared" si="106"/>
        <v/>
      </c>
      <c r="T1674" s="39" t="str">
        <f t="shared" si="107"/>
        <v/>
      </c>
    </row>
    <row r="1675" spans="4:20" x14ac:dyDescent="0.25">
      <c r="D1675" s="38" t="str">
        <f t="shared" si="104"/>
        <v/>
      </c>
      <c r="E1675" s="38" t="str">
        <f t="shared" si="105"/>
        <v/>
      </c>
      <c r="G1675" s="1"/>
      <c r="L1675" s="39" t="str">
        <f t="shared" si="106"/>
        <v/>
      </c>
      <c r="T1675" s="39" t="str">
        <f t="shared" si="107"/>
        <v/>
      </c>
    </row>
    <row r="1676" spans="4:20" x14ac:dyDescent="0.25">
      <c r="D1676" s="38" t="str">
        <f t="shared" si="104"/>
        <v/>
      </c>
      <c r="E1676" s="38" t="str">
        <f t="shared" si="105"/>
        <v/>
      </c>
      <c r="G1676" s="1"/>
      <c r="L1676" s="39" t="str">
        <f t="shared" si="106"/>
        <v/>
      </c>
      <c r="T1676" s="39" t="str">
        <f t="shared" si="107"/>
        <v/>
      </c>
    </row>
    <row r="1677" spans="4:20" x14ac:dyDescent="0.25">
      <c r="D1677" s="38" t="str">
        <f t="shared" si="104"/>
        <v/>
      </c>
      <c r="E1677" s="38" t="str">
        <f t="shared" si="105"/>
        <v/>
      </c>
      <c r="G1677" s="1"/>
      <c r="L1677" s="39" t="str">
        <f t="shared" si="106"/>
        <v/>
      </c>
      <c r="T1677" s="39" t="str">
        <f t="shared" si="107"/>
        <v/>
      </c>
    </row>
    <row r="1678" spans="4:20" x14ac:dyDescent="0.25">
      <c r="D1678" s="38" t="str">
        <f t="shared" si="104"/>
        <v/>
      </c>
      <c r="E1678" s="38" t="str">
        <f t="shared" si="105"/>
        <v/>
      </c>
      <c r="G1678" s="1"/>
      <c r="L1678" s="39" t="str">
        <f t="shared" si="106"/>
        <v/>
      </c>
      <c r="T1678" s="39" t="str">
        <f t="shared" si="107"/>
        <v/>
      </c>
    </row>
    <row r="1679" spans="4:20" x14ac:dyDescent="0.25">
      <c r="D1679" s="38" t="str">
        <f t="shared" si="104"/>
        <v/>
      </c>
      <c r="E1679" s="38" t="str">
        <f t="shared" si="105"/>
        <v/>
      </c>
      <c r="G1679" s="1"/>
      <c r="L1679" s="39" t="str">
        <f t="shared" si="106"/>
        <v/>
      </c>
      <c r="T1679" s="39" t="str">
        <f t="shared" si="107"/>
        <v/>
      </c>
    </row>
    <row r="1680" spans="4:20" x14ac:dyDescent="0.25">
      <c r="D1680" s="38" t="str">
        <f t="shared" si="104"/>
        <v/>
      </c>
      <c r="E1680" s="38" t="str">
        <f t="shared" si="105"/>
        <v/>
      </c>
      <c r="G1680" s="1"/>
      <c r="L1680" s="39" t="str">
        <f t="shared" si="106"/>
        <v/>
      </c>
      <c r="T1680" s="39" t="str">
        <f t="shared" si="107"/>
        <v/>
      </c>
    </row>
    <row r="1681" spans="4:20" x14ac:dyDescent="0.25">
      <c r="D1681" s="38" t="str">
        <f t="shared" si="104"/>
        <v/>
      </c>
      <c r="E1681" s="38" t="str">
        <f t="shared" si="105"/>
        <v/>
      </c>
      <c r="G1681" s="1"/>
      <c r="L1681" s="39" t="str">
        <f t="shared" si="106"/>
        <v/>
      </c>
      <c r="T1681" s="39" t="str">
        <f t="shared" si="107"/>
        <v/>
      </c>
    </row>
    <row r="1682" spans="4:20" x14ac:dyDescent="0.25">
      <c r="D1682" s="38" t="str">
        <f t="shared" si="104"/>
        <v/>
      </c>
      <c r="E1682" s="38" t="str">
        <f t="shared" si="105"/>
        <v/>
      </c>
      <c r="G1682" s="1"/>
      <c r="L1682" s="39" t="str">
        <f t="shared" si="106"/>
        <v/>
      </c>
      <c r="T1682" s="39" t="str">
        <f t="shared" si="107"/>
        <v/>
      </c>
    </row>
    <row r="1683" spans="4:20" x14ac:dyDescent="0.25">
      <c r="D1683" s="38" t="str">
        <f t="shared" si="104"/>
        <v/>
      </c>
      <c r="E1683" s="38" t="str">
        <f t="shared" si="105"/>
        <v/>
      </c>
      <c r="G1683" s="1"/>
      <c r="L1683" s="39" t="str">
        <f t="shared" si="106"/>
        <v/>
      </c>
      <c r="T1683" s="39" t="str">
        <f t="shared" si="107"/>
        <v/>
      </c>
    </row>
    <row r="1684" spans="4:20" x14ac:dyDescent="0.25">
      <c r="D1684" s="38" t="str">
        <f t="shared" si="104"/>
        <v/>
      </c>
      <c r="E1684" s="38" t="str">
        <f t="shared" si="105"/>
        <v/>
      </c>
      <c r="G1684" s="1"/>
      <c r="L1684" s="39" t="str">
        <f t="shared" si="106"/>
        <v/>
      </c>
      <c r="T1684" s="39" t="str">
        <f t="shared" si="107"/>
        <v/>
      </c>
    </row>
    <row r="1685" spans="4:20" x14ac:dyDescent="0.25">
      <c r="D1685" s="38" t="str">
        <f t="shared" si="104"/>
        <v/>
      </c>
      <c r="E1685" s="38" t="str">
        <f t="shared" si="105"/>
        <v/>
      </c>
      <c r="G1685" s="1"/>
      <c r="L1685" s="39" t="str">
        <f t="shared" si="106"/>
        <v/>
      </c>
      <c r="T1685" s="39" t="str">
        <f t="shared" si="107"/>
        <v/>
      </c>
    </row>
    <row r="1686" spans="4:20" x14ac:dyDescent="0.25">
      <c r="D1686" s="38" t="str">
        <f t="shared" si="104"/>
        <v/>
      </c>
      <c r="E1686" s="38" t="str">
        <f t="shared" si="105"/>
        <v/>
      </c>
      <c r="G1686" s="1"/>
      <c r="L1686" s="39" t="str">
        <f t="shared" si="106"/>
        <v/>
      </c>
      <c r="T1686" s="39" t="str">
        <f t="shared" si="107"/>
        <v/>
      </c>
    </row>
    <row r="1687" spans="4:20" x14ac:dyDescent="0.25">
      <c r="D1687" s="38" t="str">
        <f t="shared" si="104"/>
        <v/>
      </c>
      <c r="E1687" s="38" t="str">
        <f t="shared" si="105"/>
        <v/>
      </c>
      <c r="G1687" s="1"/>
      <c r="L1687" s="39" t="str">
        <f t="shared" si="106"/>
        <v/>
      </c>
      <c r="T1687" s="39" t="str">
        <f t="shared" si="107"/>
        <v/>
      </c>
    </row>
    <row r="1688" spans="4:20" x14ac:dyDescent="0.25">
      <c r="D1688" s="38" t="str">
        <f t="shared" si="104"/>
        <v/>
      </c>
      <c r="E1688" s="38" t="str">
        <f t="shared" si="105"/>
        <v/>
      </c>
      <c r="G1688" s="1"/>
      <c r="L1688" s="39" t="str">
        <f t="shared" si="106"/>
        <v/>
      </c>
      <c r="T1688" s="39" t="str">
        <f t="shared" si="107"/>
        <v/>
      </c>
    </row>
    <row r="1689" spans="4:20" x14ac:dyDescent="0.25">
      <c r="D1689" s="38" t="str">
        <f t="shared" si="104"/>
        <v/>
      </c>
      <c r="E1689" s="38" t="str">
        <f t="shared" si="105"/>
        <v/>
      </c>
      <c r="G1689" s="1"/>
      <c r="L1689" s="39" t="str">
        <f t="shared" si="106"/>
        <v/>
      </c>
      <c r="T1689" s="39" t="str">
        <f t="shared" si="107"/>
        <v/>
      </c>
    </row>
    <row r="1690" spans="4:20" x14ac:dyDescent="0.25">
      <c r="D1690" s="38" t="str">
        <f t="shared" si="104"/>
        <v/>
      </c>
      <c r="E1690" s="38" t="str">
        <f t="shared" si="105"/>
        <v/>
      </c>
      <c r="G1690" s="1"/>
      <c r="L1690" s="39" t="str">
        <f t="shared" si="106"/>
        <v/>
      </c>
      <c r="T1690" s="39" t="str">
        <f t="shared" si="107"/>
        <v/>
      </c>
    </row>
    <row r="1691" spans="4:20" x14ac:dyDescent="0.25">
      <c r="D1691" s="38" t="str">
        <f t="shared" si="104"/>
        <v/>
      </c>
      <c r="E1691" s="38" t="str">
        <f t="shared" si="105"/>
        <v/>
      </c>
      <c r="G1691" s="1"/>
      <c r="L1691" s="39" t="str">
        <f t="shared" si="106"/>
        <v/>
      </c>
      <c r="T1691" s="39" t="str">
        <f t="shared" si="107"/>
        <v/>
      </c>
    </row>
    <row r="1692" spans="4:20" x14ac:dyDescent="0.25">
      <c r="D1692" s="38" t="str">
        <f t="shared" si="104"/>
        <v/>
      </c>
      <c r="E1692" s="38" t="str">
        <f t="shared" si="105"/>
        <v/>
      </c>
      <c r="G1692" s="1"/>
      <c r="L1692" s="39" t="str">
        <f t="shared" si="106"/>
        <v/>
      </c>
      <c r="T1692" s="39" t="str">
        <f t="shared" si="107"/>
        <v/>
      </c>
    </row>
    <row r="1693" spans="4:20" x14ac:dyDescent="0.25">
      <c r="D1693" s="38" t="str">
        <f t="shared" si="104"/>
        <v/>
      </c>
      <c r="E1693" s="38" t="str">
        <f t="shared" si="105"/>
        <v/>
      </c>
      <c r="G1693" s="1"/>
      <c r="L1693" s="39" t="str">
        <f t="shared" si="106"/>
        <v/>
      </c>
      <c r="T1693" s="39" t="str">
        <f t="shared" si="107"/>
        <v/>
      </c>
    </row>
    <row r="1694" spans="4:20" x14ac:dyDescent="0.25">
      <c r="D1694" s="38" t="str">
        <f t="shared" si="104"/>
        <v/>
      </c>
      <c r="E1694" s="38" t="str">
        <f t="shared" si="105"/>
        <v/>
      </c>
      <c r="G1694" s="1"/>
      <c r="L1694" s="39" t="str">
        <f t="shared" si="106"/>
        <v/>
      </c>
      <c r="T1694" s="39" t="str">
        <f t="shared" si="107"/>
        <v/>
      </c>
    </row>
    <row r="1695" spans="4:20" x14ac:dyDescent="0.25">
      <c r="D1695" s="38" t="str">
        <f t="shared" si="104"/>
        <v/>
      </c>
      <c r="E1695" s="38" t="str">
        <f t="shared" si="105"/>
        <v/>
      </c>
      <c r="G1695" s="1"/>
      <c r="L1695" s="39" t="str">
        <f t="shared" si="106"/>
        <v/>
      </c>
      <c r="T1695" s="39" t="str">
        <f t="shared" si="107"/>
        <v/>
      </c>
    </row>
    <row r="1696" spans="4:20" x14ac:dyDescent="0.25">
      <c r="D1696" s="38" t="str">
        <f t="shared" si="104"/>
        <v/>
      </c>
      <c r="E1696" s="38" t="str">
        <f t="shared" si="105"/>
        <v/>
      </c>
      <c r="G1696" s="1"/>
      <c r="L1696" s="39" t="str">
        <f t="shared" si="106"/>
        <v/>
      </c>
      <c r="T1696" s="39" t="str">
        <f t="shared" si="107"/>
        <v/>
      </c>
    </row>
    <row r="1697" spans="4:20" x14ac:dyDescent="0.25">
      <c r="D1697" s="38" t="str">
        <f t="shared" si="104"/>
        <v/>
      </c>
      <c r="E1697" s="38" t="str">
        <f t="shared" si="105"/>
        <v/>
      </c>
      <c r="G1697" s="1"/>
      <c r="L1697" s="39" t="str">
        <f t="shared" si="106"/>
        <v/>
      </c>
      <c r="T1697" s="39" t="str">
        <f t="shared" si="107"/>
        <v/>
      </c>
    </row>
    <row r="1698" spans="4:20" x14ac:dyDescent="0.25">
      <c r="D1698" s="38" t="str">
        <f t="shared" si="104"/>
        <v/>
      </c>
      <c r="E1698" s="38" t="str">
        <f t="shared" si="105"/>
        <v/>
      </c>
      <c r="G1698" s="1"/>
      <c r="L1698" s="39" t="str">
        <f t="shared" si="106"/>
        <v/>
      </c>
      <c r="T1698" s="39" t="str">
        <f t="shared" si="107"/>
        <v/>
      </c>
    </row>
    <row r="1699" spans="4:20" x14ac:dyDescent="0.25">
      <c r="D1699" s="38" t="str">
        <f t="shared" si="104"/>
        <v/>
      </c>
      <c r="E1699" s="38" t="str">
        <f t="shared" si="105"/>
        <v/>
      </c>
      <c r="G1699" s="1"/>
      <c r="L1699" s="39" t="str">
        <f t="shared" si="106"/>
        <v/>
      </c>
      <c r="T1699" s="39" t="str">
        <f t="shared" si="107"/>
        <v/>
      </c>
    </row>
    <row r="1700" spans="4:20" x14ac:dyDescent="0.25">
      <c r="D1700" s="38" t="str">
        <f t="shared" si="104"/>
        <v/>
      </c>
      <c r="E1700" s="38" t="str">
        <f t="shared" si="105"/>
        <v/>
      </c>
      <c r="G1700" s="1"/>
      <c r="L1700" s="39" t="str">
        <f t="shared" si="106"/>
        <v/>
      </c>
      <c r="T1700" s="39" t="str">
        <f t="shared" si="107"/>
        <v/>
      </c>
    </row>
    <row r="1701" spans="4:20" x14ac:dyDescent="0.25">
      <c r="D1701" s="38" t="str">
        <f t="shared" si="104"/>
        <v/>
      </c>
      <c r="E1701" s="38" t="str">
        <f t="shared" si="105"/>
        <v/>
      </c>
      <c r="G1701" s="1"/>
      <c r="L1701" s="39" t="str">
        <f t="shared" si="106"/>
        <v/>
      </c>
      <c r="T1701" s="39" t="str">
        <f t="shared" si="107"/>
        <v/>
      </c>
    </row>
    <row r="1702" spans="4:20" x14ac:dyDescent="0.25">
      <c r="D1702" s="38" t="str">
        <f t="shared" si="104"/>
        <v/>
      </c>
      <c r="E1702" s="38" t="str">
        <f t="shared" si="105"/>
        <v/>
      </c>
      <c r="G1702" s="1"/>
      <c r="L1702" s="39" t="str">
        <f t="shared" si="106"/>
        <v/>
      </c>
      <c r="T1702" s="39" t="str">
        <f t="shared" si="107"/>
        <v/>
      </c>
    </row>
    <row r="1703" spans="4:20" x14ac:dyDescent="0.25">
      <c r="D1703" s="38" t="str">
        <f t="shared" si="104"/>
        <v/>
      </c>
      <c r="E1703" s="38" t="str">
        <f t="shared" si="105"/>
        <v/>
      </c>
      <c r="G1703" s="1"/>
      <c r="L1703" s="39" t="str">
        <f t="shared" si="106"/>
        <v/>
      </c>
      <c r="T1703" s="39" t="str">
        <f t="shared" si="107"/>
        <v/>
      </c>
    </row>
    <row r="1704" spans="4:20" x14ac:dyDescent="0.25">
      <c r="D1704" s="38" t="str">
        <f t="shared" si="104"/>
        <v/>
      </c>
      <c r="E1704" s="38" t="str">
        <f t="shared" si="105"/>
        <v/>
      </c>
      <c r="G1704" s="1"/>
      <c r="L1704" s="39" t="str">
        <f t="shared" si="106"/>
        <v/>
      </c>
      <c r="T1704" s="39" t="str">
        <f t="shared" si="107"/>
        <v/>
      </c>
    </row>
    <row r="1705" spans="4:20" x14ac:dyDescent="0.25">
      <c r="D1705" s="38" t="str">
        <f t="shared" si="104"/>
        <v/>
      </c>
      <c r="E1705" s="38" t="str">
        <f t="shared" si="105"/>
        <v/>
      </c>
      <c r="G1705" s="1"/>
      <c r="L1705" s="39" t="str">
        <f t="shared" si="106"/>
        <v/>
      </c>
      <c r="T1705" s="39" t="str">
        <f t="shared" si="107"/>
        <v/>
      </c>
    </row>
    <row r="1706" spans="4:20" x14ac:dyDescent="0.25">
      <c r="D1706" s="38" t="str">
        <f t="shared" si="104"/>
        <v/>
      </c>
      <c r="E1706" s="38" t="str">
        <f t="shared" si="105"/>
        <v/>
      </c>
      <c r="G1706" s="1"/>
      <c r="L1706" s="39" t="str">
        <f t="shared" si="106"/>
        <v/>
      </c>
      <c r="T1706" s="39" t="str">
        <f t="shared" si="107"/>
        <v/>
      </c>
    </row>
    <row r="1707" spans="4:20" x14ac:dyDescent="0.25">
      <c r="D1707" s="38" t="str">
        <f t="shared" si="104"/>
        <v/>
      </c>
      <c r="E1707" s="38" t="str">
        <f t="shared" si="105"/>
        <v/>
      </c>
      <c r="G1707" s="1"/>
      <c r="L1707" s="39" t="str">
        <f t="shared" si="106"/>
        <v/>
      </c>
      <c r="T1707" s="39" t="str">
        <f t="shared" si="107"/>
        <v/>
      </c>
    </row>
    <row r="1708" spans="4:20" x14ac:dyDescent="0.25">
      <c r="D1708" s="38" t="str">
        <f t="shared" si="104"/>
        <v/>
      </c>
      <c r="E1708" s="38" t="str">
        <f t="shared" si="105"/>
        <v/>
      </c>
      <c r="G1708" s="1"/>
      <c r="L1708" s="39" t="str">
        <f t="shared" si="106"/>
        <v/>
      </c>
      <c r="T1708" s="39" t="str">
        <f t="shared" si="107"/>
        <v/>
      </c>
    </row>
    <row r="1709" spans="4:20" x14ac:dyDescent="0.25">
      <c r="D1709" s="38" t="str">
        <f t="shared" si="104"/>
        <v/>
      </c>
      <c r="E1709" s="38" t="str">
        <f t="shared" si="105"/>
        <v/>
      </c>
      <c r="G1709" s="1"/>
      <c r="L1709" s="39" t="str">
        <f t="shared" si="106"/>
        <v/>
      </c>
      <c r="T1709" s="39" t="str">
        <f t="shared" si="107"/>
        <v/>
      </c>
    </row>
    <row r="1710" spans="4:20" x14ac:dyDescent="0.25">
      <c r="D1710" s="38" t="str">
        <f t="shared" si="104"/>
        <v/>
      </c>
      <c r="E1710" s="38" t="str">
        <f t="shared" si="105"/>
        <v/>
      </c>
      <c r="G1710" s="1"/>
      <c r="L1710" s="39" t="str">
        <f t="shared" si="106"/>
        <v/>
      </c>
      <c r="T1710" s="39" t="str">
        <f t="shared" si="107"/>
        <v/>
      </c>
    </row>
    <row r="1711" spans="4:20" x14ac:dyDescent="0.25">
      <c r="D1711" s="38" t="str">
        <f t="shared" si="104"/>
        <v/>
      </c>
      <c r="E1711" s="38" t="str">
        <f t="shared" si="105"/>
        <v/>
      </c>
      <c r="G1711" s="1"/>
      <c r="L1711" s="39" t="str">
        <f t="shared" si="106"/>
        <v/>
      </c>
      <c r="T1711" s="39" t="str">
        <f t="shared" si="107"/>
        <v/>
      </c>
    </row>
    <row r="1712" spans="4:20" x14ac:dyDescent="0.25">
      <c r="D1712" s="38" t="str">
        <f t="shared" si="104"/>
        <v/>
      </c>
      <c r="E1712" s="38" t="str">
        <f t="shared" si="105"/>
        <v/>
      </c>
      <c r="G1712" s="1"/>
      <c r="L1712" s="39" t="str">
        <f t="shared" si="106"/>
        <v/>
      </c>
      <c r="T1712" s="39" t="str">
        <f t="shared" si="107"/>
        <v/>
      </c>
    </row>
    <row r="1713" spans="4:20" x14ac:dyDescent="0.25">
      <c r="D1713" s="38" t="str">
        <f t="shared" si="104"/>
        <v/>
      </c>
      <c r="E1713" s="38" t="str">
        <f t="shared" si="105"/>
        <v/>
      </c>
      <c r="G1713" s="1"/>
      <c r="L1713" s="39" t="str">
        <f t="shared" si="106"/>
        <v/>
      </c>
      <c r="T1713" s="39" t="str">
        <f t="shared" si="107"/>
        <v/>
      </c>
    </row>
    <row r="1714" spans="4:20" x14ac:dyDescent="0.25">
      <c r="D1714" s="38" t="str">
        <f t="shared" si="104"/>
        <v/>
      </c>
      <c r="E1714" s="38" t="str">
        <f t="shared" si="105"/>
        <v/>
      </c>
      <c r="G1714" s="1"/>
      <c r="L1714" s="39" t="str">
        <f t="shared" si="106"/>
        <v/>
      </c>
      <c r="T1714" s="39" t="str">
        <f t="shared" si="107"/>
        <v/>
      </c>
    </row>
    <row r="1715" spans="4:20" x14ac:dyDescent="0.25">
      <c r="D1715" s="38" t="str">
        <f t="shared" si="104"/>
        <v/>
      </c>
      <c r="E1715" s="38" t="str">
        <f t="shared" si="105"/>
        <v/>
      </c>
      <c r="G1715" s="1"/>
      <c r="L1715" s="39" t="str">
        <f t="shared" si="106"/>
        <v/>
      </c>
      <c r="T1715" s="39" t="str">
        <f t="shared" si="107"/>
        <v/>
      </c>
    </row>
    <row r="1716" spans="4:20" x14ac:dyDescent="0.25">
      <c r="D1716" s="38" t="str">
        <f t="shared" si="104"/>
        <v/>
      </c>
      <c r="E1716" s="38" t="str">
        <f t="shared" si="105"/>
        <v/>
      </c>
      <c r="G1716" s="1"/>
      <c r="L1716" s="39" t="str">
        <f t="shared" si="106"/>
        <v/>
      </c>
      <c r="T1716" s="39" t="str">
        <f t="shared" si="107"/>
        <v/>
      </c>
    </row>
    <row r="1717" spans="4:20" x14ac:dyDescent="0.25">
      <c r="D1717" s="38" t="str">
        <f t="shared" si="104"/>
        <v/>
      </c>
      <c r="E1717" s="38" t="str">
        <f t="shared" si="105"/>
        <v/>
      </c>
      <c r="G1717" s="1"/>
      <c r="L1717" s="39" t="str">
        <f t="shared" si="106"/>
        <v/>
      </c>
      <c r="T1717" s="39" t="str">
        <f t="shared" si="107"/>
        <v/>
      </c>
    </row>
    <row r="1718" spans="4:20" x14ac:dyDescent="0.25">
      <c r="D1718" s="38" t="str">
        <f t="shared" si="104"/>
        <v/>
      </c>
      <c r="E1718" s="38" t="str">
        <f t="shared" si="105"/>
        <v/>
      </c>
      <c r="G1718" s="1"/>
      <c r="L1718" s="39" t="str">
        <f t="shared" si="106"/>
        <v/>
      </c>
      <c r="T1718" s="39" t="str">
        <f t="shared" si="107"/>
        <v/>
      </c>
    </row>
    <row r="1719" spans="4:20" x14ac:dyDescent="0.25">
      <c r="D1719" s="38" t="str">
        <f t="shared" si="104"/>
        <v/>
      </c>
      <c r="E1719" s="38" t="str">
        <f t="shared" si="105"/>
        <v/>
      </c>
      <c r="G1719" s="1"/>
      <c r="L1719" s="39" t="str">
        <f t="shared" si="106"/>
        <v/>
      </c>
      <c r="T1719" s="39" t="str">
        <f t="shared" si="107"/>
        <v/>
      </c>
    </row>
    <row r="1720" spans="4:20" x14ac:dyDescent="0.25">
      <c r="D1720" s="38" t="str">
        <f t="shared" si="104"/>
        <v/>
      </c>
      <c r="E1720" s="38" t="str">
        <f t="shared" si="105"/>
        <v/>
      </c>
      <c r="G1720" s="1"/>
      <c r="L1720" s="39" t="str">
        <f t="shared" si="106"/>
        <v/>
      </c>
      <c r="T1720" s="39" t="str">
        <f t="shared" si="107"/>
        <v/>
      </c>
    </row>
    <row r="1721" spans="4:20" x14ac:dyDescent="0.25">
      <c r="D1721" s="38" t="str">
        <f t="shared" si="104"/>
        <v/>
      </c>
      <c r="E1721" s="38" t="str">
        <f t="shared" si="105"/>
        <v/>
      </c>
      <c r="G1721" s="1"/>
      <c r="L1721" s="39" t="str">
        <f t="shared" si="106"/>
        <v/>
      </c>
      <c r="T1721" s="39" t="str">
        <f t="shared" si="107"/>
        <v/>
      </c>
    </row>
    <row r="1722" spans="4:20" x14ac:dyDescent="0.25">
      <c r="D1722" s="38" t="str">
        <f t="shared" si="104"/>
        <v/>
      </c>
      <c r="E1722" s="38" t="str">
        <f t="shared" si="105"/>
        <v/>
      </c>
      <c r="G1722" s="1"/>
      <c r="L1722" s="39" t="str">
        <f t="shared" si="106"/>
        <v/>
      </c>
      <c r="T1722" s="39" t="str">
        <f t="shared" si="107"/>
        <v/>
      </c>
    </row>
    <row r="1723" spans="4:20" x14ac:dyDescent="0.25">
      <c r="D1723" s="38" t="str">
        <f t="shared" si="104"/>
        <v/>
      </c>
      <c r="E1723" s="38" t="str">
        <f t="shared" si="105"/>
        <v/>
      </c>
      <c r="G1723" s="1"/>
      <c r="L1723" s="39" t="str">
        <f t="shared" si="106"/>
        <v/>
      </c>
      <c r="T1723" s="39" t="str">
        <f t="shared" si="107"/>
        <v/>
      </c>
    </row>
    <row r="1724" spans="4:20" x14ac:dyDescent="0.25">
      <c r="D1724" s="38" t="str">
        <f t="shared" si="104"/>
        <v/>
      </c>
      <c r="E1724" s="38" t="str">
        <f t="shared" si="105"/>
        <v/>
      </c>
      <c r="G1724" s="1"/>
      <c r="L1724" s="39" t="str">
        <f t="shared" si="106"/>
        <v/>
      </c>
      <c r="T1724" s="39" t="str">
        <f t="shared" si="107"/>
        <v/>
      </c>
    </row>
    <row r="1725" spans="4:20" x14ac:dyDescent="0.25">
      <c r="D1725" s="38" t="str">
        <f t="shared" si="104"/>
        <v/>
      </c>
      <c r="E1725" s="38" t="str">
        <f t="shared" si="105"/>
        <v/>
      </c>
      <c r="G1725" s="1"/>
      <c r="L1725" s="39" t="str">
        <f t="shared" si="106"/>
        <v/>
      </c>
      <c r="T1725" s="39" t="str">
        <f t="shared" si="107"/>
        <v/>
      </c>
    </row>
    <row r="1726" spans="4:20" x14ac:dyDescent="0.25">
      <c r="D1726" s="38" t="str">
        <f t="shared" si="104"/>
        <v/>
      </c>
      <c r="E1726" s="38" t="str">
        <f t="shared" si="105"/>
        <v/>
      </c>
      <c r="G1726" s="1"/>
      <c r="L1726" s="39" t="str">
        <f t="shared" si="106"/>
        <v/>
      </c>
      <c r="T1726" s="39" t="str">
        <f t="shared" si="107"/>
        <v/>
      </c>
    </row>
    <row r="1727" spans="4:20" x14ac:dyDescent="0.25">
      <c r="D1727" s="38" t="str">
        <f t="shared" si="104"/>
        <v/>
      </c>
      <c r="E1727" s="38" t="str">
        <f t="shared" si="105"/>
        <v/>
      </c>
      <c r="G1727" s="1"/>
      <c r="L1727" s="39" t="str">
        <f t="shared" si="106"/>
        <v/>
      </c>
      <c r="T1727" s="39" t="str">
        <f t="shared" si="107"/>
        <v/>
      </c>
    </row>
    <row r="1728" spans="4:20" x14ac:dyDescent="0.25">
      <c r="D1728" s="38" t="str">
        <f t="shared" si="104"/>
        <v/>
      </c>
      <c r="E1728" s="38" t="str">
        <f t="shared" si="105"/>
        <v/>
      </c>
      <c r="G1728" s="1"/>
      <c r="L1728" s="39" t="str">
        <f t="shared" si="106"/>
        <v/>
      </c>
      <c r="T1728" s="39" t="str">
        <f t="shared" si="107"/>
        <v/>
      </c>
    </row>
    <row r="1729" spans="4:20" x14ac:dyDescent="0.25">
      <c r="D1729" s="38" t="str">
        <f t="shared" si="104"/>
        <v/>
      </c>
      <c r="E1729" s="38" t="str">
        <f t="shared" si="105"/>
        <v/>
      </c>
      <c r="G1729" s="1"/>
      <c r="L1729" s="39" t="str">
        <f t="shared" si="106"/>
        <v/>
      </c>
      <c r="T1729" s="39" t="str">
        <f t="shared" si="107"/>
        <v/>
      </c>
    </row>
    <row r="1730" spans="4:20" x14ac:dyDescent="0.25">
      <c r="D1730" s="38" t="str">
        <f t="shared" ref="D1730:D1793" si="108">IF($B1730="", "", CHOOSE(MONTH($B1730), "Gennaio","Febbraio","Marzo","Aprile","Maggio","Giugno","Luglio","Agosto","Settembre","Ottobre","Novembre","Dicembre"))</f>
        <v/>
      </c>
      <c r="E1730" s="38" t="str">
        <f t="shared" ref="E1730:E1793" si="109">IF($B1730="", "", CHOOSE(WEEKDAY($B1730,2), "Lunedì","Martedì","Mercoledì","Giovedì","Venerdì","Sabato","Domenica"))</f>
        <v/>
      </c>
      <c r="G1730" s="1"/>
      <c r="L1730" s="39" t="str">
        <f t="shared" ref="L1730:L1793" si="110">IF($K1730="Target", $G1730*$H1730, IF($K1730="Stop Loss", -$G1730, IF($K1730="Breakeven", 0, "")))</f>
        <v/>
      </c>
      <c r="T1730" s="39" t="str">
        <f t="shared" si="107"/>
        <v/>
      </c>
    </row>
    <row r="1731" spans="4:20" x14ac:dyDescent="0.25">
      <c r="D1731" s="38" t="str">
        <f t="shared" si="108"/>
        <v/>
      </c>
      <c r="E1731" s="38" t="str">
        <f t="shared" si="109"/>
        <v/>
      </c>
      <c r="G1731" s="1"/>
      <c r="L1731" s="39" t="str">
        <f t="shared" si="110"/>
        <v/>
      </c>
      <c r="T1731" s="39" t="str">
        <f t="shared" ref="T1731:T1794" si="111">IF($L1731="", "", $T1730 + $L1731)</f>
        <v/>
      </c>
    </row>
    <row r="1732" spans="4:20" x14ac:dyDescent="0.25">
      <c r="D1732" s="38" t="str">
        <f t="shared" si="108"/>
        <v/>
      </c>
      <c r="E1732" s="38" t="str">
        <f t="shared" si="109"/>
        <v/>
      </c>
      <c r="G1732" s="1"/>
      <c r="L1732" s="39" t="str">
        <f t="shared" si="110"/>
        <v/>
      </c>
      <c r="T1732" s="39" t="str">
        <f t="shared" si="111"/>
        <v/>
      </c>
    </row>
    <row r="1733" spans="4:20" x14ac:dyDescent="0.25">
      <c r="D1733" s="38" t="str">
        <f t="shared" si="108"/>
        <v/>
      </c>
      <c r="E1733" s="38" t="str">
        <f t="shared" si="109"/>
        <v/>
      </c>
      <c r="G1733" s="1"/>
      <c r="L1733" s="39" t="str">
        <f t="shared" si="110"/>
        <v/>
      </c>
      <c r="T1733" s="39" t="str">
        <f t="shared" si="111"/>
        <v/>
      </c>
    </row>
    <row r="1734" spans="4:20" x14ac:dyDescent="0.25">
      <c r="D1734" s="38" t="str">
        <f t="shared" si="108"/>
        <v/>
      </c>
      <c r="E1734" s="38" t="str">
        <f t="shared" si="109"/>
        <v/>
      </c>
      <c r="G1734" s="1"/>
      <c r="L1734" s="39" t="str">
        <f t="shared" si="110"/>
        <v/>
      </c>
      <c r="T1734" s="39" t="str">
        <f t="shared" si="111"/>
        <v/>
      </c>
    </row>
    <row r="1735" spans="4:20" x14ac:dyDescent="0.25">
      <c r="D1735" s="38" t="str">
        <f t="shared" si="108"/>
        <v/>
      </c>
      <c r="E1735" s="38" t="str">
        <f t="shared" si="109"/>
        <v/>
      </c>
      <c r="G1735" s="1"/>
      <c r="L1735" s="39" t="str">
        <f t="shared" si="110"/>
        <v/>
      </c>
      <c r="T1735" s="39" t="str">
        <f t="shared" si="111"/>
        <v/>
      </c>
    </row>
    <row r="1736" spans="4:20" x14ac:dyDescent="0.25">
      <c r="D1736" s="38" t="str">
        <f t="shared" si="108"/>
        <v/>
      </c>
      <c r="E1736" s="38" t="str">
        <f t="shared" si="109"/>
        <v/>
      </c>
      <c r="G1736" s="1"/>
      <c r="L1736" s="39" t="str">
        <f t="shared" si="110"/>
        <v/>
      </c>
      <c r="T1736" s="39" t="str">
        <f t="shared" si="111"/>
        <v/>
      </c>
    </row>
    <row r="1737" spans="4:20" x14ac:dyDescent="0.25">
      <c r="D1737" s="38" t="str">
        <f t="shared" si="108"/>
        <v/>
      </c>
      <c r="E1737" s="38" t="str">
        <f t="shared" si="109"/>
        <v/>
      </c>
      <c r="G1737" s="1"/>
      <c r="L1737" s="39" t="str">
        <f t="shared" si="110"/>
        <v/>
      </c>
      <c r="T1737" s="39" t="str">
        <f t="shared" si="111"/>
        <v/>
      </c>
    </row>
    <row r="1738" spans="4:20" x14ac:dyDescent="0.25">
      <c r="D1738" s="38" t="str">
        <f t="shared" si="108"/>
        <v/>
      </c>
      <c r="E1738" s="38" t="str">
        <f t="shared" si="109"/>
        <v/>
      </c>
      <c r="G1738" s="1"/>
      <c r="L1738" s="39" t="str">
        <f t="shared" si="110"/>
        <v/>
      </c>
      <c r="T1738" s="39" t="str">
        <f t="shared" si="111"/>
        <v/>
      </c>
    </row>
    <row r="1739" spans="4:20" x14ac:dyDescent="0.25">
      <c r="D1739" s="38" t="str">
        <f t="shared" si="108"/>
        <v/>
      </c>
      <c r="E1739" s="38" t="str">
        <f t="shared" si="109"/>
        <v/>
      </c>
      <c r="G1739" s="1"/>
      <c r="L1739" s="39" t="str">
        <f t="shared" si="110"/>
        <v/>
      </c>
      <c r="T1739" s="39" t="str">
        <f t="shared" si="111"/>
        <v/>
      </c>
    </row>
    <row r="1740" spans="4:20" x14ac:dyDescent="0.25">
      <c r="D1740" s="38" t="str">
        <f t="shared" si="108"/>
        <v/>
      </c>
      <c r="E1740" s="38" t="str">
        <f t="shared" si="109"/>
        <v/>
      </c>
      <c r="G1740" s="1"/>
      <c r="L1740" s="39" t="str">
        <f t="shared" si="110"/>
        <v/>
      </c>
      <c r="T1740" s="39" t="str">
        <f t="shared" si="111"/>
        <v/>
      </c>
    </row>
    <row r="1741" spans="4:20" x14ac:dyDescent="0.25">
      <c r="D1741" s="38" t="str">
        <f t="shared" si="108"/>
        <v/>
      </c>
      <c r="E1741" s="38" t="str">
        <f t="shared" si="109"/>
        <v/>
      </c>
      <c r="G1741" s="1"/>
      <c r="L1741" s="39" t="str">
        <f t="shared" si="110"/>
        <v/>
      </c>
      <c r="T1741" s="39" t="str">
        <f t="shared" si="111"/>
        <v/>
      </c>
    </row>
    <row r="1742" spans="4:20" x14ac:dyDescent="0.25">
      <c r="D1742" s="38" t="str">
        <f t="shared" si="108"/>
        <v/>
      </c>
      <c r="E1742" s="38" t="str">
        <f t="shared" si="109"/>
        <v/>
      </c>
      <c r="G1742" s="1"/>
      <c r="L1742" s="39" t="str">
        <f t="shared" si="110"/>
        <v/>
      </c>
      <c r="T1742" s="39" t="str">
        <f t="shared" si="111"/>
        <v/>
      </c>
    </row>
    <row r="1743" spans="4:20" x14ac:dyDescent="0.25">
      <c r="D1743" s="38" t="str">
        <f t="shared" si="108"/>
        <v/>
      </c>
      <c r="E1743" s="38" t="str">
        <f t="shared" si="109"/>
        <v/>
      </c>
      <c r="G1743" s="1"/>
      <c r="L1743" s="39" t="str">
        <f t="shared" si="110"/>
        <v/>
      </c>
      <c r="T1743" s="39" t="str">
        <f t="shared" si="111"/>
        <v/>
      </c>
    </row>
    <row r="1744" spans="4:20" x14ac:dyDescent="0.25">
      <c r="D1744" s="38" t="str">
        <f t="shared" si="108"/>
        <v/>
      </c>
      <c r="E1744" s="38" t="str">
        <f t="shared" si="109"/>
        <v/>
      </c>
      <c r="G1744" s="1"/>
      <c r="L1744" s="39" t="str">
        <f t="shared" si="110"/>
        <v/>
      </c>
      <c r="T1744" s="39" t="str">
        <f t="shared" si="111"/>
        <v/>
      </c>
    </row>
    <row r="1745" spans="4:20" x14ac:dyDescent="0.25">
      <c r="D1745" s="38" t="str">
        <f t="shared" si="108"/>
        <v/>
      </c>
      <c r="E1745" s="38" t="str">
        <f t="shared" si="109"/>
        <v/>
      </c>
      <c r="G1745" s="1"/>
      <c r="L1745" s="39" t="str">
        <f t="shared" si="110"/>
        <v/>
      </c>
      <c r="T1745" s="39" t="str">
        <f t="shared" si="111"/>
        <v/>
      </c>
    </row>
    <row r="1746" spans="4:20" x14ac:dyDescent="0.25">
      <c r="D1746" s="38" t="str">
        <f t="shared" si="108"/>
        <v/>
      </c>
      <c r="E1746" s="38" t="str">
        <f t="shared" si="109"/>
        <v/>
      </c>
      <c r="G1746" s="1"/>
      <c r="L1746" s="39" t="str">
        <f t="shared" si="110"/>
        <v/>
      </c>
      <c r="T1746" s="39" t="str">
        <f t="shared" si="111"/>
        <v/>
      </c>
    </row>
    <row r="1747" spans="4:20" x14ac:dyDescent="0.25">
      <c r="D1747" s="38" t="str">
        <f t="shared" si="108"/>
        <v/>
      </c>
      <c r="E1747" s="38" t="str">
        <f t="shared" si="109"/>
        <v/>
      </c>
      <c r="G1747" s="1"/>
      <c r="L1747" s="39" t="str">
        <f t="shared" si="110"/>
        <v/>
      </c>
      <c r="T1747" s="39" t="str">
        <f t="shared" si="111"/>
        <v/>
      </c>
    </row>
    <row r="1748" spans="4:20" x14ac:dyDescent="0.25">
      <c r="D1748" s="38" t="str">
        <f t="shared" si="108"/>
        <v/>
      </c>
      <c r="E1748" s="38" t="str">
        <f t="shared" si="109"/>
        <v/>
      </c>
      <c r="G1748" s="1"/>
      <c r="L1748" s="39" t="str">
        <f t="shared" si="110"/>
        <v/>
      </c>
      <c r="T1748" s="39" t="str">
        <f t="shared" si="111"/>
        <v/>
      </c>
    </row>
    <row r="1749" spans="4:20" x14ac:dyDescent="0.25">
      <c r="D1749" s="38" t="str">
        <f t="shared" si="108"/>
        <v/>
      </c>
      <c r="E1749" s="38" t="str">
        <f t="shared" si="109"/>
        <v/>
      </c>
      <c r="G1749" s="1"/>
      <c r="L1749" s="39" t="str">
        <f t="shared" si="110"/>
        <v/>
      </c>
      <c r="T1749" s="39" t="str">
        <f t="shared" si="111"/>
        <v/>
      </c>
    </row>
    <row r="1750" spans="4:20" x14ac:dyDescent="0.25">
      <c r="D1750" s="38" t="str">
        <f t="shared" si="108"/>
        <v/>
      </c>
      <c r="E1750" s="38" t="str">
        <f t="shared" si="109"/>
        <v/>
      </c>
      <c r="G1750" s="1"/>
      <c r="L1750" s="39" t="str">
        <f t="shared" si="110"/>
        <v/>
      </c>
      <c r="T1750" s="39" t="str">
        <f t="shared" si="111"/>
        <v/>
      </c>
    </row>
    <row r="1751" spans="4:20" x14ac:dyDescent="0.25">
      <c r="D1751" s="38" t="str">
        <f t="shared" si="108"/>
        <v/>
      </c>
      <c r="E1751" s="38" t="str">
        <f t="shared" si="109"/>
        <v/>
      </c>
      <c r="G1751" s="1"/>
      <c r="L1751" s="39" t="str">
        <f t="shared" si="110"/>
        <v/>
      </c>
      <c r="T1751" s="39" t="str">
        <f t="shared" si="111"/>
        <v/>
      </c>
    </row>
    <row r="1752" spans="4:20" x14ac:dyDescent="0.25">
      <c r="D1752" s="38" t="str">
        <f t="shared" si="108"/>
        <v/>
      </c>
      <c r="E1752" s="38" t="str">
        <f t="shared" si="109"/>
        <v/>
      </c>
      <c r="G1752" s="1"/>
      <c r="L1752" s="39" t="str">
        <f t="shared" si="110"/>
        <v/>
      </c>
      <c r="T1752" s="39" t="str">
        <f t="shared" si="111"/>
        <v/>
      </c>
    </row>
    <row r="1753" spans="4:20" x14ac:dyDescent="0.25">
      <c r="D1753" s="38" t="str">
        <f t="shared" si="108"/>
        <v/>
      </c>
      <c r="E1753" s="38" t="str">
        <f t="shared" si="109"/>
        <v/>
      </c>
      <c r="G1753" s="1"/>
      <c r="L1753" s="39" t="str">
        <f t="shared" si="110"/>
        <v/>
      </c>
      <c r="T1753" s="39" t="str">
        <f t="shared" si="111"/>
        <v/>
      </c>
    </row>
    <row r="1754" spans="4:20" x14ac:dyDescent="0.25">
      <c r="D1754" s="38" t="str">
        <f t="shared" si="108"/>
        <v/>
      </c>
      <c r="E1754" s="38" t="str">
        <f t="shared" si="109"/>
        <v/>
      </c>
      <c r="G1754" s="1"/>
      <c r="L1754" s="39" t="str">
        <f t="shared" si="110"/>
        <v/>
      </c>
      <c r="T1754" s="39" t="str">
        <f t="shared" si="111"/>
        <v/>
      </c>
    </row>
    <row r="1755" spans="4:20" x14ac:dyDescent="0.25">
      <c r="D1755" s="38" t="str">
        <f t="shared" si="108"/>
        <v/>
      </c>
      <c r="E1755" s="38" t="str">
        <f t="shared" si="109"/>
        <v/>
      </c>
      <c r="G1755" s="1"/>
      <c r="L1755" s="39" t="str">
        <f t="shared" si="110"/>
        <v/>
      </c>
      <c r="T1755" s="39" t="str">
        <f t="shared" si="111"/>
        <v/>
      </c>
    </row>
    <row r="1756" spans="4:20" x14ac:dyDescent="0.25">
      <c r="D1756" s="38" t="str">
        <f t="shared" si="108"/>
        <v/>
      </c>
      <c r="E1756" s="38" t="str">
        <f t="shared" si="109"/>
        <v/>
      </c>
      <c r="G1756" s="1"/>
      <c r="L1756" s="39" t="str">
        <f t="shared" si="110"/>
        <v/>
      </c>
      <c r="T1756" s="39" t="str">
        <f t="shared" si="111"/>
        <v/>
      </c>
    </row>
    <row r="1757" spans="4:20" x14ac:dyDescent="0.25">
      <c r="D1757" s="38" t="str">
        <f t="shared" si="108"/>
        <v/>
      </c>
      <c r="E1757" s="38" t="str">
        <f t="shared" si="109"/>
        <v/>
      </c>
      <c r="G1757" s="1"/>
      <c r="L1757" s="39" t="str">
        <f t="shared" si="110"/>
        <v/>
      </c>
      <c r="T1757" s="39" t="str">
        <f t="shared" si="111"/>
        <v/>
      </c>
    </row>
    <row r="1758" spans="4:20" x14ac:dyDescent="0.25">
      <c r="D1758" s="38" t="str">
        <f t="shared" si="108"/>
        <v/>
      </c>
      <c r="E1758" s="38" t="str">
        <f t="shared" si="109"/>
        <v/>
      </c>
      <c r="G1758" s="1"/>
      <c r="L1758" s="39" t="str">
        <f t="shared" si="110"/>
        <v/>
      </c>
      <c r="T1758" s="39" t="str">
        <f t="shared" si="111"/>
        <v/>
      </c>
    </row>
    <row r="1759" spans="4:20" x14ac:dyDescent="0.25">
      <c r="D1759" s="38" t="str">
        <f t="shared" si="108"/>
        <v/>
      </c>
      <c r="E1759" s="38" t="str">
        <f t="shared" si="109"/>
        <v/>
      </c>
      <c r="G1759" s="1"/>
      <c r="L1759" s="39" t="str">
        <f t="shared" si="110"/>
        <v/>
      </c>
      <c r="T1759" s="39" t="str">
        <f t="shared" si="111"/>
        <v/>
      </c>
    </row>
    <row r="1760" spans="4:20" x14ac:dyDescent="0.25">
      <c r="D1760" s="38" t="str">
        <f t="shared" si="108"/>
        <v/>
      </c>
      <c r="E1760" s="38" t="str">
        <f t="shared" si="109"/>
        <v/>
      </c>
      <c r="G1760" s="1"/>
      <c r="L1760" s="39" t="str">
        <f t="shared" si="110"/>
        <v/>
      </c>
      <c r="T1760" s="39" t="str">
        <f t="shared" si="111"/>
        <v/>
      </c>
    </row>
    <row r="1761" spans="4:20" x14ac:dyDescent="0.25">
      <c r="D1761" s="38" t="str">
        <f t="shared" si="108"/>
        <v/>
      </c>
      <c r="E1761" s="38" t="str">
        <f t="shared" si="109"/>
        <v/>
      </c>
      <c r="G1761" s="1"/>
      <c r="L1761" s="39" t="str">
        <f t="shared" si="110"/>
        <v/>
      </c>
      <c r="T1761" s="39" t="str">
        <f t="shared" si="111"/>
        <v/>
      </c>
    </row>
    <row r="1762" spans="4:20" x14ac:dyDescent="0.25">
      <c r="D1762" s="38" t="str">
        <f t="shared" si="108"/>
        <v/>
      </c>
      <c r="E1762" s="38" t="str">
        <f t="shared" si="109"/>
        <v/>
      </c>
      <c r="G1762" s="1"/>
      <c r="L1762" s="39" t="str">
        <f t="shared" si="110"/>
        <v/>
      </c>
      <c r="T1762" s="39" t="str">
        <f t="shared" si="111"/>
        <v/>
      </c>
    </row>
    <row r="1763" spans="4:20" x14ac:dyDescent="0.25">
      <c r="D1763" s="38" t="str">
        <f t="shared" si="108"/>
        <v/>
      </c>
      <c r="E1763" s="38" t="str">
        <f t="shared" si="109"/>
        <v/>
      </c>
      <c r="G1763" s="1"/>
      <c r="L1763" s="39" t="str">
        <f t="shared" si="110"/>
        <v/>
      </c>
      <c r="T1763" s="39" t="str">
        <f t="shared" si="111"/>
        <v/>
      </c>
    </row>
    <row r="1764" spans="4:20" x14ac:dyDescent="0.25">
      <c r="D1764" s="38" t="str">
        <f t="shared" si="108"/>
        <v/>
      </c>
      <c r="E1764" s="38" t="str">
        <f t="shared" si="109"/>
        <v/>
      </c>
      <c r="G1764" s="1"/>
      <c r="L1764" s="39" t="str">
        <f t="shared" si="110"/>
        <v/>
      </c>
      <c r="T1764" s="39" t="str">
        <f t="shared" si="111"/>
        <v/>
      </c>
    </row>
    <row r="1765" spans="4:20" x14ac:dyDescent="0.25">
      <c r="D1765" s="38" t="str">
        <f t="shared" si="108"/>
        <v/>
      </c>
      <c r="E1765" s="38" t="str">
        <f t="shared" si="109"/>
        <v/>
      </c>
      <c r="G1765" s="1"/>
      <c r="L1765" s="39" t="str">
        <f t="shared" si="110"/>
        <v/>
      </c>
      <c r="T1765" s="39" t="str">
        <f t="shared" si="111"/>
        <v/>
      </c>
    </row>
    <row r="1766" spans="4:20" x14ac:dyDescent="0.25">
      <c r="D1766" s="38" t="str">
        <f t="shared" si="108"/>
        <v/>
      </c>
      <c r="E1766" s="38" t="str">
        <f t="shared" si="109"/>
        <v/>
      </c>
      <c r="G1766" s="1"/>
      <c r="L1766" s="39" t="str">
        <f t="shared" si="110"/>
        <v/>
      </c>
      <c r="T1766" s="39" t="str">
        <f t="shared" si="111"/>
        <v/>
      </c>
    </row>
    <row r="1767" spans="4:20" x14ac:dyDescent="0.25">
      <c r="D1767" s="38" t="str">
        <f t="shared" si="108"/>
        <v/>
      </c>
      <c r="E1767" s="38" t="str">
        <f t="shared" si="109"/>
        <v/>
      </c>
      <c r="G1767" s="1"/>
      <c r="L1767" s="39" t="str">
        <f t="shared" si="110"/>
        <v/>
      </c>
      <c r="T1767" s="39" t="str">
        <f t="shared" si="111"/>
        <v/>
      </c>
    </row>
    <row r="1768" spans="4:20" x14ac:dyDescent="0.25">
      <c r="D1768" s="38" t="str">
        <f t="shared" si="108"/>
        <v/>
      </c>
      <c r="E1768" s="38" t="str">
        <f t="shared" si="109"/>
        <v/>
      </c>
      <c r="G1768" s="1"/>
      <c r="L1768" s="39" t="str">
        <f t="shared" si="110"/>
        <v/>
      </c>
      <c r="T1768" s="39" t="str">
        <f t="shared" si="111"/>
        <v/>
      </c>
    </row>
    <row r="1769" spans="4:20" x14ac:dyDescent="0.25">
      <c r="D1769" s="38" t="str">
        <f t="shared" si="108"/>
        <v/>
      </c>
      <c r="E1769" s="38" t="str">
        <f t="shared" si="109"/>
        <v/>
      </c>
      <c r="G1769" s="1"/>
      <c r="L1769" s="39" t="str">
        <f t="shared" si="110"/>
        <v/>
      </c>
      <c r="T1769" s="39" t="str">
        <f t="shared" si="111"/>
        <v/>
      </c>
    </row>
    <row r="1770" spans="4:20" x14ac:dyDescent="0.25">
      <c r="D1770" s="38" t="str">
        <f t="shared" si="108"/>
        <v/>
      </c>
      <c r="E1770" s="38" t="str">
        <f t="shared" si="109"/>
        <v/>
      </c>
      <c r="G1770" s="1"/>
      <c r="L1770" s="39" t="str">
        <f t="shared" si="110"/>
        <v/>
      </c>
      <c r="T1770" s="39" t="str">
        <f t="shared" si="111"/>
        <v/>
      </c>
    </row>
    <row r="1771" spans="4:20" x14ac:dyDescent="0.25">
      <c r="D1771" s="38" t="str">
        <f t="shared" si="108"/>
        <v/>
      </c>
      <c r="E1771" s="38" t="str">
        <f t="shared" si="109"/>
        <v/>
      </c>
      <c r="G1771" s="1"/>
      <c r="L1771" s="39" t="str">
        <f t="shared" si="110"/>
        <v/>
      </c>
      <c r="T1771" s="39" t="str">
        <f t="shared" si="111"/>
        <v/>
      </c>
    </row>
    <row r="1772" spans="4:20" x14ac:dyDescent="0.25">
      <c r="D1772" s="38" t="str">
        <f t="shared" si="108"/>
        <v/>
      </c>
      <c r="E1772" s="38" t="str">
        <f t="shared" si="109"/>
        <v/>
      </c>
      <c r="G1772" s="1"/>
      <c r="L1772" s="39" t="str">
        <f t="shared" si="110"/>
        <v/>
      </c>
      <c r="T1772" s="39" t="str">
        <f t="shared" si="111"/>
        <v/>
      </c>
    </row>
    <row r="1773" spans="4:20" x14ac:dyDescent="0.25">
      <c r="D1773" s="38" t="str">
        <f t="shared" si="108"/>
        <v/>
      </c>
      <c r="E1773" s="38" t="str">
        <f t="shared" si="109"/>
        <v/>
      </c>
      <c r="G1773" s="1"/>
      <c r="L1773" s="39" t="str">
        <f t="shared" si="110"/>
        <v/>
      </c>
      <c r="T1773" s="39" t="str">
        <f t="shared" si="111"/>
        <v/>
      </c>
    </row>
    <row r="1774" spans="4:20" x14ac:dyDescent="0.25">
      <c r="D1774" s="38" t="str">
        <f t="shared" si="108"/>
        <v/>
      </c>
      <c r="E1774" s="38" t="str">
        <f t="shared" si="109"/>
        <v/>
      </c>
      <c r="G1774" s="1"/>
      <c r="L1774" s="39" t="str">
        <f t="shared" si="110"/>
        <v/>
      </c>
      <c r="T1774" s="39" t="str">
        <f t="shared" si="111"/>
        <v/>
      </c>
    </row>
    <row r="1775" spans="4:20" x14ac:dyDescent="0.25">
      <c r="D1775" s="38" t="str">
        <f t="shared" si="108"/>
        <v/>
      </c>
      <c r="E1775" s="38" t="str">
        <f t="shared" si="109"/>
        <v/>
      </c>
      <c r="G1775" s="1"/>
      <c r="L1775" s="39" t="str">
        <f t="shared" si="110"/>
        <v/>
      </c>
      <c r="T1775" s="39" t="str">
        <f t="shared" si="111"/>
        <v/>
      </c>
    </row>
    <row r="1776" spans="4:20" x14ac:dyDescent="0.25">
      <c r="D1776" s="38" t="str">
        <f t="shared" si="108"/>
        <v/>
      </c>
      <c r="E1776" s="38" t="str">
        <f t="shared" si="109"/>
        <v/>
      </c>
      <c r="G1776" s="1"/>
      <c r="L1776" s="39" t="str">
        <f t="shared" si="110"/>
        <v/>
      </c>
      <c r="T1776" s="39" t="str">
        <f t="shared" si="111"/>
        <v/>
      </c>
    </row>
    <row r="1777" spans="4:20" x14ac:dyDescent="0.25">
      <c r="D1777" s="38" t="str">
        <f t="shared" si="108"/>
        <v/>
      </c>
      <c r="E1777" s="38" t="str">
        <f t="shared" si="109"/>
        <v/>
      </c>
      <c r="G1777" s="1"/>
      <c r="L1777" s="39" t="str">
        <f t="shared" si="110"/>
        <v/>
      </c>
      <c r="T1777" s="39" t="str">
        <f t="shared" si="111"/>
        <v/>
      </c>
    </row>
    <row r="1778" spans="4:20" x14ac:dyDescent="0.25">
      <c r="D1778" s="38" t="str">
        <f t="shared" si="108"/>
        <v/>
      </c>
      <c r="E1778" s="38" t="str">
        <f t="shared" si="109"/>
        <v/>
      </c>
      <c r="G1778" s="1"/>
      <c r="L1778" s="39" t="str">
        <f t="shared" si="110"/>
        <v/>
      </c>
      <c r="T1778" s="39" t="str">
        <f t="shared" si="111"/>
        <v/>
      </c>
    </row>
    <row r="1779" spans="4:20" x14ac:dyDescent="0.25">
      <c r="D1779" s="38" t="str">
        <f t="shared" si="108"/>
        <v/>
      </c>
      <c r="E1779" s="38" t="str">
        <f t="shared" si="109"/>
        <v/>
      </c>
      <c r="G1779" s="1"/>
      <c r="L1779" s="39" t="str">
        <f t="shared" si="110"/>
        <v/>
      </c>
      <c r="T1779" s="39" t="str">
        <f t="shared" si="111"/>
        <v/>
      </c>
    </row>
    <row r="1780" spans="4:20" x14ac:dyDescent="0.25">
      <c r="D1780" s="38" t="str">
        <f t="shared" si="108"/>
        <v/>
      </c>
      <c r="E1780" s="38" t="str">
        <f t="shared" si="109"/>
        <v/>
      </c>
      <c r="G1780" s="1"/>
      <c r="L1780" s="39" t="str">
        <f t="shared" si="110"/>
        <v/>
      </c>
      <c r="T1780" s="39" t="str">
        <f t="shared" si="111"/>
        <v/>
      </c>
    </row>
    <row r="1781" spans="4:20" x14ac:dyDescent="0.25">
      <c r="D1781" s="38" t="str">
        <f t="shared" si="108"/>
        <v/>
      </c>
      <c r="E1781" s="38" t="str">
        <f t="shared" si="109"/>
        <v/>
      </c>
      <c r="G1781" s="1"/>
      <c r="L1781" s="39" t="str">
        <f t="shared" si="110"/>
        <v/>
      </c>
      <c r="T1781" s="39" t="str">
        <f t="shared" si="111"/>
        <v/>
      </c>
    </row>
    <row r="1782" spans="4:20" x14ac:dyDescent="0.25">
      <c r="D1782" s="38" t="str">
        <f t="shared" si="108"/>
        <v/>
      </c>
      <c r="E1782" s="38" t="str">
        <f t="shared" si="109"/>
        <v/>
      </c>
      <c r="G1782" s="1"/>
      <c r="L1782" s="39" t="str">
        <f t="shared" si="110"/>
        <v/>
      </c>
      <c r="T1782" s="39" t="str">
        <f t="shared" si="111"/>
        <v/>
      </c>
    </row>
    <row r="1783" spans="4:20" x14ac:dyDescent="0.25">
      <c r="D1783" s="38" t="str">
        <f t="shared" si="108"/>
        <v/>
      </c>
      <c r="E1783" s="38" t="str">
        <f t="shared" si="109"/>
        <v/>
      </c>
      <c r="G1783" s="1"/>
      <c r="L1783" s="39" t="str">
        <f t="shared" si="110"/>
        <v/>
      </c>
      <c r="T1783" s="39" t="str">
        <f t="shared" si="111"/>
        <v/>
      </c>
    </row>
    <row r="1784" spans="4:20" x14ac:dyDescent="0.25">
      <c r="D1784" s="38" t="str">
        <f t="shared" si="108"/>
        <v/>
      </c>
      <c r="E1784" s="38" t="str">
        <f t="shared" si="109"/>
        <v/>
      </c>
      <c r="G1784" s="1"/>
      <c r="L1784" s="39" t="str">
        <f t="shared" si="110"/>
        <v/>
      </c>
      <c r="T1784" s="39" t="str">
        <f t="shared" si="111"/>
        <v/>
      </c>
    </row>
    <row r="1785" spans="4:20" x14ac:dyDescent="0.25">
      <c r="D1785" s="38" t="str">
        <f t="shared" si="108"/>
        <v/>
      </c>
      <c r="E1785" s="38" t="str">
        <f t="shared" si="109"/>
        <v/>
      </c>
      <c r="G1785" s="1"/>
      <c r="L1785" s="39" t="str">
        <f t="shared" si="110"/>
        <v/>
      </c>
      <c r="T1785" s="39" t="str">
        <f t="shared" si="111"/>
        <v/>
      </c>
    </row>
    <row r="1786" spans="4:20" x14ac:dyDescent="0.25">
      <c r="D1786" s="38" t="str">
        <f t="shared" si="108"/>
        <v/>
      </c>
      <c r="E1786" s="38" t="str">
        <f t="shared" si="109"/>
        <v/>
      </c>
      <c r="G1786" s="1"/>
      <c r="L1786" s="39" t="str">
        <f t="shared" si="110"/>
        <v/>
      </c>
      <c r="T1786" s="39" t="str">
        <f t="shared" si="111"/>
        <v/>
      </c>
    </row>
    <row r="1787" spans="4:20" x14ac:dyDescent="0.25">
      <c r="D1787" s="38" t="str">
        <f t="shared" si="108"/>
        <v/>
      </c>
      <c r="E1787" s="38" t="str">
        <f t="shared" si="109"/>
        <v/>
      </c>
      <c r="G1787" s="1"/>
      <c r="L1787" s="39" t="str">
        <f t="shared" si="110"/>
        <v/>
      </c>
      <c r="T1787" s="39" t="str">
        <f t="shared" si="111"/>
        <v/>
      </c>
    </row>
    <row r="1788" spans="4:20" x14ac:dyDescent="0.25">
      <c r="D1788" s="38" t="str">
        <f t="shared" si="108"/>
        <v/>
      </c>
      <c r="E1788" s="38" t="str">
        <f t="shared" si="109"/>
        <v/>
      </c>
      <c r="G1788" s="1"/>
      <c r="L1788" s="39" t="str">
        <f t="shared" si="110"/>
        <v/>
      </c>
      <c r="T1788" s="39" t="str">
        <f t="shared" si="111"/>
        <v/>
      </c>
    </row>
    <row r="1789" spans="4:20" x14ac:dyDescent="0.25">
      <c r="D1789" s="38" t="str">
        <f t="shared" si="108"/>
        <v/>
      </c>
      <c r="E1789" s="38" t="str">
        <f t="shared" si="109"/>
        <v/>
      </c>
      <c r="G1789" s="1"/>
      <c r="L1789" s="39" t="str">
        <f t="shared" si="110"/>
        <v/>
      </c>
      <c r="T1789" s="39" t="str">
        <f t="shared" si="111"/>
        <v/>
      </c>
    </row>
    <row r="1790" spans="4:20" x14ac:dyDescent="0.25">
      <c r="D1790" s="38" t="str">
        <f t="shared" si="108"/>
        <v/>
      </c>
      <c r="E1790" s="38" t="str">
        <f t="shared" si="109"/>
        <v/>
      </c>
      <c r="G1790" s="1"/>
      <c r="L1790" s="39" t="str">
        <f t="shared" si="110"/>
        <v/>
      </c>
      <c r="T1790" s="39" t="str">
        <f t="shared" si="111"/>
        <v/>
      </c>
    </row>
    <row r="1791" spans="4:20" x14ac:dyDescent="0.25">
      <c r="D1791" s="38" t="str">
        <f t="shared" si="108"/>
        <v/>
      </c>
      <c r="E1791" s="38" t="str">
        <f t="shared" si="109"/>
        <v/>
      </c>
      <c r="G1791" s="1"/>
      <c r="L1791" s="39" t="str">
        <f t="shared" si="110"/>
        <v/>
      </c>
      <c r="T1791" s="39" t="str">
        <f t="shared" si="111"/>
        <v/>
      </c>
    </row>
    <row r="1792" spans="4:20" x14ac:dyDescent="0.25">
      <c r="D1792" s="38" t="str">
        <f t="shared" si="108"/>
        <v/>
      </c>
      <c r="E1792" s="38" t="str">
        <f t="shared" si="109"/>
        <v/>
      </c>
      <c r="G1792" s="1"/>
      <c r="L1792" s="39" t="str">
        <f t="shared" si="110"/>
        <v/>
      </c>
      <c r="T1792" s="39" t="str">
        <f t="shared" si="111"/>
        <v/>
      </c>
    </row>
    <row r="1793" spans="4:20" x14ac:dyDescent="0.25">
      <c r="D1793" s="38" t="str">
        <f t="shared" si="108"/>
        <v/>
      </c>
      <c r="E1793" s="38" t="str">
        <f t="shared" si="109"/>
        <v/>
      </c>
      <c r="G1793" s="1"/>
      <c r="L1793" s="39" t="str">
        <f t="shared" si="110"/>
        <v/>
      </c>
      <c r="T1793" s="39" t="str">
        <f t="shared" si="111"/>
        <v/>
      </c>
    </row>
    <row r="1794" spans="4:20" x14ac:dyDescent="0.25">
      <c r="D1794" s="38" t="str">
        <f t="shared" ref="D1794:D1857" si="112">IF($B1794="", "", CHOOSE(MONTH($B1794), "Gennaio","Febbraio","Marzo","Aprile","Maggio","Giugno","Luglio","Agosto","Settembre","Ottobre","Novembre","Dicembre"))</f>
        <v/>
      </c>
      <c r="E1794" s="38" t="str">
        <f t="shared" ref="E1794:E1857" si="113">IF($B1794="", "", CHOOSE(WEEKDAY($B1794,2), "Lunedì","Martedì","Mercoledì","Giovedì","Venerdì","Sabato","Domenica"))</f>
        <v/>
      </c>
      <c r="G1794" s="1"/>
      <c r="L1794" s="39" t="str">
        <f t="shared" ref="L1794:L1857" si="114">IF($K1794="Target", $G1794*$H1794, IF($K1794="Stop Loss", -$G1794, IF($K1794="Breakeven", 0, "")))</f>
        <v/>
      </c>
      <c r="T1794" s="39" t="str">
        <f t="shared" si="111"/>
        <v/>
      </c>
    </row>
    <row r="1795" spans="4:20" x14ac:dyDescent="0.25">
      <c r="D1795" s="38" t="str">
        <f t="shared" si="112"/>
        <v/>
      </c>
      <c r="E1795" s="38" t="str">
        <f t="shared" si="113"/>
        <v/>
      </c>
      <c r="G1795" s="1"/>
      <c r="L1795" s="39" t="str">
        <f t="shared" si="114"/>
        <v/>
      </c>
      <c r="T1795" s="39" t="str">
        <f t="shared" ref="T1795:T1858" si="115">IF($L1795="", "", $T1794 + $L1795)</f>
        <v/>
      </c>
    </row>
    <row r="1796" spans="4:20" x14ac:dyDescent="0.25">
      <c r="D1796" s="38" t="str">
        <f t="shared" si="112"/>
        <v/>
      </c>
      <c r="E1796" s="38" t="str">
        <f t="shared" si="113"/>
        <v/>
      </c>
      <c r="G1796" s="1"/>
      <c r="L1796" s="39" t="str">
        <f t="shared" si="114"/>
        <v/>
      </c>
      <c r="T1796" s="39" t="str">
        <f t="shared" si="115"/>
        <v/>
      </c>
    </row>
    <row r="1797" spans="4:20" x14ac:dyDescent="0.25">
      <c r="D1797" s="38" t="str">
        <f t="shared" si="112"/>
        <v/>
      </c>
      <c r="E1797" s="38" t="str">
        <f t="shared" si="113"/>
        <v/>
      </c>
      <c r="G1797" s="1"/>
      <c r="L1797" s="39" t="str">
        <f t="shared" si="114"/>
        <v/>
      </c>
      <c r="T1797" s="39" t="str">
        <f t="shared" si="115"/>
        <v/>
      </c>
    </row>
    <row r="1798" spans="4:20" x14ac:dyDescent="0.25">
      <c r="D1798" s="38" t="str">
        <f t="shared" si="112"/>
        <v/>
      </c>
      <c r="E1798" s="38" t="str">
        <f t="shared" si="113"/>
        <v/>
      </c>
      <c r="G1798" s="1"/>
      <c r="L1798" s="39" t="str">
        <f t="shared" si="114"/>
        <v/>
      </c>
      <c r="T1798" s="39" t="str">
        <f t="shared" si="115"/>
        <v/>
      </c>
    </row>
    <row r="1799" spans="4:20" x14ac:dyDescent="0.25">
      <c r="D1799" s="38" t="str">
        <f t="shared" si="112"/>
        <v/>
      </c>
      <c r="E1799" s="38" t="str">
        <f t="shared" si="113"/>
        <v/>
      </c>
      <c r="G1799" s="1"/>
      <c r="L1799" s="39" t="str">
        <f t="shared" si="114"/>
        <v/>
      </c>
      <c r="T1799" s="39" t="str">
        <f t="shared" si="115"/>
        <v/>
      </c>
    </row>
    <row r="1800" spans="4:20" x14ac:dyDescent="0.25">
      <c r="D1800" s="38" t="str">
        <f t="shared" si="112"/>
        <v/>
      </c>
      <c r="E1800" s="38" t="str">
        <f t="shared" si="113"/>
        <v/>
      </c>
      <c r="G1800" s="1"/>
      <c r="L1800" s="39" t="str">
        <f t="shared" si="114"/>
        <v/>
      </c>
      <c r="T1800" s="39" t="str">
        <f t="shared" si="115"/>
        <v/>
      </c>
    </row>
    <row r="1801" spans="4:20" x14ac:dyDescent="0.25">
      <c r="D1801" s="38" t="str">
        <f t="shared" si="112"/>
        <v/>
      </c>
      <c r="E1801" s="38" t="str">
        <f t="shared" si="113"/>
        <v/>
      </c>
      <c r="G1801" s="1"/>
      <c r="L1801" s="39" t="str">
        <f t="shared" si="114"/>
        <v/>
      </c>
      <c r="T1801" s="39" t="str">
        <f t="shared" si="115"/>
        <v/>
      </c>
    </row>
    <row r="1802" spans="4:20" x14ac:dyDescent="0.25">
      <c r="D1802" s="38" t="str">
        <f t="shared" si="112"/>
        <v/>
      </c>
      <c r="E1802" s="38" t="str">
        <f t="shared" si="113"/>
        <v/>
      </c>
      <c r="G1802" s="1"/>
      <c r="L1802" s="39" t="str">
        <f t="shared" si="114"/>
        <v/>
      </c>
      <c r="T1802" s="39" t="str">
        <f t="shared" si="115"/>
        <v/>
      </c>
    </row>
    <row r="1803" spans="4:20" x14ac:dyDescent="0.25">
      <c r="D1803" s="38" t="str">
        <f t="shared" si="112"/>
        <v/>
      </c>
      <c r="E1803" s="38" t="str">
        <f t="shared" si="113"/>
        <v/>
      </c>
      <c r="G1803" s="1"/>
      <c r="L1803" s="39" t="str">
        <f t="shared" si="114"/>
        <v/>
      </c>
      <c r="T1803" s="39" t="str">
        <f t="shared" si="115"/>
        <v/>
      </c>
    </row>
    <row r="1804" spans="4:20" x14ac:dyDescent="0.25">
      <c r="D1804" s="38" t="str">
        <f t="shared" si="112"/>
        <v/>
      </c>
      <c r="E1804" s="38" t="str">
        <f t="shared" si="113"/>
        <v/>
      </c>
      <c r="G1804" s="1"/>
      <c r="L1804" s="39" t="str">
        <f t="shared" si="114"/>
        <v/>
      </c>
      <c r="T1804" s="39" t="str">
        <f t="shared" si="115"/>
        <v/>
      </c>
    </row>
    <row r="1805" spans="4:20" x14ac:dyDescent="0.25">
      <c r="D1805" s="38" t="str">
        <f t="shared" si="112"/>
        <v/>
      </c>
      <c r="E1805" s="38" t="str">
        <f t="shared" si="113"/>
        <v/>
      </c>
      <c r="G1805" s="1"/>
      <c r="L1805" s="39" t="str">
        <f t="shared" si="114"/>
        <v/>
      </c>
      <c r="T1805" s="39" t="str">
        <f t="shared" si="115"/>
        <v/>
      </c>
    </row>
    <row r="1806" spans="4:20" x14ac:dyDescent="0.25">
      <c r="D1806" s="38" t="str">
        <f t="shared" si="112"/>
        <v/>
      </c>
      <c r="E1806" s="38" t="str">
        <f t="shared" si="113"/>
        <v/>
      </c>
      <c r="G1806" s="1"/>
      <c r="L1806" s="39" t="str">
        <f t="shared" si="114"/>
        <v/>
      </c>
      <c r="T1806" s="39" t="str">
        <f t="shared" si="115"/>
        <v/>
      </c>
    </row>
    <row r="1807" spans="4:20" x14ac:dyDescent="0.25">
      <c r="D1807" s="38" t="str">
        <f t="shared" si="112"/>
        <v/>
      </c>
      <c r="E1807" s="38" t="str">
        <f t="shared" si="113"/>
        <v/>
      </c>
      <c r="G1807" s="1"/>
      <c r="L1807" s="39" t="str">
        <f t="shared" si="114"/>
        <v/>
      </c>
      <c r="T1807" s="39" t="str">
        <f t="shared" si="115"/>
        <v/>
      </c>
    </row>
    <row r="1808" spans="4:20" x14ac:dyDescent="0.25">
      <c r="D1808" s="38" t="str">
        <f t="shared" si="112"/>
        <v/>
      </c>
      <c r="E1808" s="38" t="str">
        <f t="shared" si="113"/>
        <v/>
      </c>
      <c r="G1808" s="1"/>
      <c r="L1808" s="39" t="str">
        <f t="shared" si="114"/>
        <v/>
      </c>
      <c r="T1808" s="39" t="str">
        <f t="shared" si="115"/>
        <v/>
      </c>
    </row>
    <row r="1809" spans="4:20" x14ac:dyDescent="0.25">
      <c r="D1809" s="38" t="str">
        <f t="shared" si="112"/>
        <v/>
      </c>
      <c r="E1809" s="38" t="str">
        <f t="shared" si="113"/>
        <v/>
      </c>
      <c r="G1809" s="1"/>
      <c r="L1809" s="39" t="str">
        <f t="shared" si="114"/>
        <v/>
      </c>
      <c r="T1809" s="39" t="str">
        <f t="shared" si="115"/>
        <v/>
      </c>
    </row>
    <row r="1810" spans="4:20" x14ac:dyDescent="0.25">
      <c r="D1810" s="38" t="str">
        <f t="shared" si="112"/>
        <v/>
      </c>
      <c r="E1810" s="38" t="str">
        <f t="shared" si="113"/>
        <v/>
      </c>
      <c r="G1810" s="1"/>
      <c r="L1810" s="39" t="str">
        <f t="shared" si="114"/>
        <v/>
      </c>
      <c r="T1810" s="39" t="str">
        <f t="shared" si="115"/>
        <v/>
      </c>
    </row>
    <row r="1811" spans="4:20" x14ac:dyDescent="0.25">
      <c r="D1811" s="38" t="str">
        <f t="shared" si="112"/>
        <v/>
      </c>
      <c r="E1811" s="38" t="str">
        <f t="shared" si="113"/>
        <v/>
      </c>
      <c r="G1811" s="1"/>
      <c r="L1811" s="39" t="str">
        <f t="shared" si="114"/>
        <v/>
      </c>
      <c r="T1811" s="39" t="str">
        <f t="shared" si="115"/>
        <v/>
      </c>
    </row>
    <row r="1812" spans="4:20" x14ac:dyDescent="0.25">
      <c r="D1812" s="38" t="str">
        <f t="shared" si="112"/>
        <v/>
      </c>
      <c r="E1812" s="38" t="str">
        <f t="shared" si="113"/>
        <v/>
      </c>
      <c r="G1812" s="1"/>
      <c r="L1812" s="39" t="str">
        <f t="shared" si="114"/>
        <v/>
      </c>
      <c r="T1812" s="39" t="str">
        <f t="shared" si="115"/>
        <v/>
      </c>
    </row>
    <row r="1813" spans="4:20" x14ac:dyDescent="0.25">
      <c r="D1813" s="38" t="str">
        <f t="shared" si="112"/>
        <v/>
      </c>
      <c r="E1813" s="38" t="str">
        <f t="shared" si="113"/>
        <v/>
      </c>
      <c r="G1813" s="1"/>
      <c r="L1813" s="39" t="str">
        <f t="shared" si="114"/>
        <v/>
      </c>
      <c r="T1813" s="39" t="str">
        <f t="shared" si="115"/>
        <v/>
      </c>
    </row>
    <row r="1814" spans="4:20" x14ac:dyDescent="0.25">
      <c r="D1814" s="38" t="str">
        <f t="shared" si="112"/>
        <v/>
      </c>
      <c r="E1814" s="38" t="str">
        <f t="shared" si="113"/>
        <v/>
      </c>
      <c r="G1814" s="1"/>
      <c r="L1814" s="39" t="str">
        <f t="shared" si="114"/>
        <v/>
      </c>
      <c r="T1814" s="39" t="str">
        <f t="shared" si="115"/>
        <v/>
      </c>
    </row>
    <row r="1815" spans="4:20" x14ac:dyDescent="0.25">
      <c r="D1815" s="38" t="str">
        <f t="shared" si="112"/>
        <v/>
      </c>
      <c r="E1815" s="38" t="str">
        <f t="shared" si="113"/>
        <v/>
      </c>
      <c r="G1815" s="1"/>
      <c r="L1815" s="39" t="str">
        <f t="shared" si="114"/>
        <v/>
      </c>
      <c r="T1815" s="39" t="str">
        <f t="shared" si="115"/>
        <v/>
      </c>
    </row>
    <row r="1816" spans="4:20" x14ac:dyDescent="0.25">
      <c r="D1816" s="38" t="str">
        <f t="shared" si="112"/>
        <v/>
      </c>
      <c r="E1816" s="38" t="str">
        <f t="shared" si="113"/>
        <v/>
      </c>
      <c r="G1816" s="1"/>
      <c r="L1816" s="39" t="str">
        <f t="shared" si="114"/>
        <v/>
      </c>
      <c r="T1816" s="39" t="str">
        <f t="shared" si="115"/>
        <v/>
      </c>
    </row>
    <row r="1817" spans="4:20" x14ac:dyDescent="0.25">
      <c r="D1817" s="38" t="str">
        <f t="shared" si="112"/>
        <v/>
      </c>
      <c r="E1817" s="38" t="str">
        <f t="shared" si="113"/>
        <v/>
      </c>
      <c r="G1817" s="1"/>
      <c r="L1817" s="39" t="str">
        <f t="shared" si="114"/>
        <v/>
      </c>
      <c r="T1817" s="39" t="str">
        <f t="shared" si="115"/>
        <v/>
      </c>
    </row>
    <row r="1818" spans="4:20" x14ac:dyDescent="0.25">
      <c r="D1818" s="38" t="str">
        <f t="shared" si="112"/>
        <v/>
      </c>
      <c r="E1818" s="38" t="str">
        <f t="shared" si="113"/>
        <v/>
      </c>
      <c r="G1818" s="1"/>
      <c r="L1818" s="39" t="str">
        <f t="shared" si="114"/>
        <v/>
      </c>
      <c r="T1818" s="39" t="str">
        <f t="shared" si="115"/>
        <v/>
      </c>
    </row>
    <row r="1819" spans="4:20" x14ac:dyDescent="0.25">
      <c r="D1819" s="38" t="str">
        <f t="shared" si="112"/>
        <v/>
      </c>
      <c r="E1819" s="38" t="str">
        <f t="shared" si="113"/>
        <v/>
      </c>
      <c r="G1819" s="1"/>
      <c r="L1819" s="39" t="str">
        <f t="shared" si="114"/>
        <v/>
      </c>
      <c r="T1819" s="39" t="str">
        <f t="shared" si="115"/>
        <v/>
      </c>
    </row>
    <row r="1820" spans="4:20" x14ac:dyDescent="0.25">
      <c r="D1820" s="38" t="str">
        <f t="shared" si="112"/>
        <v/>
      </c>
      <c r="E1820" s="38" t="str">
        <f t="shared" si="113"/>
        <v/>
      </c>
      <c r="G1820" s="1"/>
      <c r="L1820" s="39" t="str">
        <f t="shared" si="114"/>
        <v/>
      </c>
      <c r="T1820" s="39" t="str">
        <f t="shared" si="115"/>
        <v/>
      </c>
    </row>
    <row r="1821" spans="4:20" x14ac:dyDescent="0.25">
      <c r="D1821" s="38" t="str">
        <f t="shared" si="112"/>
        <v/>
      </c>
      <c r="E1821" s="38" t="str">
        <f t="shared" si="113"/>
        <v/>
      </c>
      <c r="G1821" s="1"/>
      <c r="L1821" s="39" t="str">
        <f t="shared" si="114"/>
        <v/>
      </c>
      <c r="T1821" s="39" t="str">
        <f t="shared" si="115"/>
        <v/>
      </c>
    </row>
    <row r="1822" spans="4:20" x14ac:dyDescent="0.25">
      <c r="D1822" s="38" t="str">
        <f t="shared" si="112"/>
        <v/>
      </c>
      <c r="E1822" s="38" t="str">
        <f t="shared" si="113"/>
        <v/>
      </c>
      <c r="G1822" s="1"/>
      <c r="L1822" s="39" t="str">
        <f t="shared" si="114"/>
        <v/>
      </c>
      <c r="T1822" s="39" t="str">
        <f t="shared" si="115"/>
        <v/>
      </c>
    </row>
    <row r="1823" spans="4:20" x14ac:dyDescent="0.25">
      <c r="D1823" s="38" t="str">
        <f t="shared" si="112"/>
        <v/>
      </c>
      <c r="E1823" s="38" t="str">
        <f t="shared" si="113"/>
        <v/>
      </c>
      <c r="G1823" s="1"/>
      <c r="L1823" s="39" t="str">
        <f t="shared" si="114"/>
        <v/>
      </c>
      <c r="T1823" s="39" t="str">
        <f t="shared" si="115"/>
        <v/>
      </c>
    </row>
    <row r="1824" spans="4:20" x14ac:dyDescent="0.25">
      <c r="D1824" s="38" t="str">
        <f t="shared" si="112"/>
        <v/>
      </c>
      <c r="E1824" s="38" t="str">
        <f t="shared" si="113"/>
        <v/>
      </c>
      <c r="G1824" s="1"/>
      <c r="L1824" s="39" t="str">
        <f t="shared" si="114"/>
        <v/>
      </c>
      <c r="T1824" s="39" t="str">
        <f t="shared" si="115"/>
        <v/>
      </c>
    </row>
    <row r="1825" spans="4:20" x14ac:dyDescent="0.25">
      <c r="D1825" s="38" t="str">
        <f t="shared" si="112"/>
        <v/>
      </c>
      <c r="E1825" s="38" t="str">
        <f t="shared" si="113"/>
        <v/>
      </c>
      <c r="G1825" s="1"/>
      <c r="L1825" s="39" t="str">
        <f t="shared" si="114"/>
        <v/>
      </c>
      <c r="T1825" s="39" t="str">
        <f t="shared" si="115"/>
        <v/>
      </c>
    </row>
    <row r="1826" spans="4:20" x14ac:dyDescent="0.25">
      <c r="D1826" s="38" t="str">
        <f t="shared" si="112"/>
        <v/>
      </c>
      <c r="E1826" s="38" t="str">
        <f t="shared" si="113"/>
        <v/>
      </c>
      <c r="G1826" s="1"/>
      <c r="L1826" s="39" t="str">
        <f t="shared" si="114"/>
        <v/>
      </c>
      <c r="T1826" s="39" t="str">
        <f t="shared" si="115"/>
        <v/>
      </c>
    </row>
    <row r="1827" spans="4:20" x14ac:dyDescent="0.25">
      <c r="D1827" s="38" t="str">
        <f t="shared" si="112"/>
        <v/>
      </c>
      <c r="E1827" s="38" t="str">
        <f t="shared" si="113"/>
        <v/>
      </c>
      <c r="G1827" s="1"/>
      <c r="L1827" s="39" t="str">
        <f t="shared" si="114"/>
        <v/>
      </c>
      <c r="T1827" s="39" t="str">
        <f t="shared" si="115"/>
        <v/>
      </c>
    </row>
    <row r="1828" spans="4:20" x14ac:dyDescent="0.25">
      <c r="D1828" s="38" t="str">
        <f t="shared" si="112"/>
        <v/>
      </c>
      <c r="E1828" s="38" t="str">
        <f t="shared" si="113"/>
        <v/>
      </c>
      <c r="G1828" s="1"/>
      <c r="L1828" s="39" t="str">
        <f t="shared" si="114"/>
        <v/>
      </c>
      <c r="T1828" s="39" t="str">
        <f t="shared" si="115"/>
        <v/>
      </c>
    </row>
    <row r="1829" spans="4:20" x14ac:dyDescent="0.25">
      <c r="D1829" s="38" t="str">
        <f t="shared" si="112"/>
        <v/>
      </c>
      <c r="E1829" s="38" t="str">
        <f t="shared" si="113"/>
        <v/>
      </c>
      <c r="G1829" s="1"/>
      <c r="L1829" s="39" t="str">
        <f t="shared" si="114"/>
        <v/>
      </c>
      <c r="T1829" s="39" t="str">
        <f t="shared" si="115"/>
        <v/>
      </c>
    </row>
    <row r="1830" spans="4:20" x14ac:dyDescent="0.25">
      <c r="D1830" s="38" t="str">
        <f t="shared" si="112"/>
        <v/>
      </c>
      <c r="E1830" s="38" t="str">
        <f t="shared" si="113"/>
        <v/>
      </c>
      <c r="G1830" s="1"/>
      <c r="L1830" s="39" t="str">
        <f t="shared" si="114"/>
        <v/>
      </c>
      <c r="T1830" s="39" t="str">
        <f t="shared" si="115"/>
        <v/>
      </c>
    </row>
    <row r="1831" spans="4:20" x14ac:dyDescent="0.25">
      <c r="D1831" s="38" t="str">
        <f t="shared" si="112"/>
        <v/>
      </c>
      <c r="E1831" s="38" t="str">
        <f t="shared" si="113"/>
        <v/>
      </c>
      <c r="G1831" s="1"/>
      <c r="L1831" s="39" t="str">
        <f t="shared" si="114"/>
        <v/>
      </c>
      <c r="T1831" s="39" t="str">
        <f t="shared" si="115"/>
        <v/>
      </c>
    </row>
    <row r="1832" spans="4:20" x14ac:dyDescent="0.25">
      <c r="D1832" s="38" t="str">
        <f t="shared" si="112"/>
        <v/>
      </c>
      <c r="E1832" s="38" t="str">
        <f t="shared" si="113"/>
        <v/>
      </c>
      <c r="G1832" s="1"/>
      <c r="L1832" s="39" t="str">
        <f t="shared" si="114"/>
        <v/>
      </c>
      <c r="T1832" s="39" t="str">
        <f t="shared" si="115"/>
        <v/>
      </c>
    </row>
    <row r="1833" spans="4:20" x14ac:dyDescent="0.25">
      <c r="D1833" s="38" t="str">
        <f t="shared" si="112"/>
        <v/>
      </c>
      <c r="E1833" s="38" t="str">
        <f t="shared" si="113"/>
        <v/>
      </c>
      <c r="G1833" s="1"/>
      <c r="L1833" s="39" t="str">
        <f t="shared" si="114"/>
        <v/>
      </c>
      <c r="T1833" s="39" t="str">
        <f t="shared" si="115"/>
        <v/>
      </c>
    </row>
    <row r="1834" spans="4:20" x14ac:dyDescent="0.25">
      <c r="D1834" s="38" t="str">
        <f t="shared" si="112"/>
        <v/>
      </c>
      <c r="E1834" s="38" t="str">
        <f t="shared" si="113"/>
        <v/>
      </c>
      <c r="G1834" s="1"/>
      <c r="L1834" s="39" t="str">
        <f t="shared" si="114"/>
        <v/>
      </c>
      <c r="T1834" s="39" t="str">
        <f t="shared" si="115"/>
        <v/>
      </c>
    </row>
    <row r="1835" spans="4:20" x14ac:dyDescent="0.25">
      <c r="D1835" s="38" t="str">
        <f t="shared" si="112"/>
        <v/>
      </c>
      <c r="E1835" s="38" t="str">
        <f t="shared" si="113"/>
        <v/>
      </c>
      <c r="G1835" s="1"/>
      <c r="L1835" s="39" t="str">
        <f t="shared" si="114"/>
        <v/>
      </c>
      <c r="T1835" s="39" t="str">
        <f t="shared" si="115"/>
        <v/>
      </c>
    </row>
    <row r="1836" spans="4:20" x14ac:dyDescent="0.25">
      <c r="D1836" s="38" t="str">
        <f t="shared" si="112"/>
        <v/>
      </c>
      <c r="E1836" s="38" t="str">
        <f t="shared" si="113"/>
        <v/>
      </c>
      <c r="G1836" s="1"/>
      <c r="L1836" s="39" t="str">
        <f t="shared" si="114"/>
        <v/>
      </c>
      <c r="T1836" s="39" t="str">
        <f t="shared" si="115"/>
        <v/>
      </c>
    </row>
    <row r="1837" spans="4:20" x14ac:dyDescent="0.25">
      <c r="D1837" s="38" t="str">
        <f t="shared" si="112"/>
        <v/>
      </c>
      <c r="E1837" s="38" t="str">
        <f t="shared" si="113"/>
        <v/>
      </c>
      <c r="G1837" s="1"/>
      <c r="L1837" s="39" t="str">
        <f t="shared" si="114"/>
        <v/>
      </c>
      <c r="T1837" s="39" t="str">
        <f t="shared" si="115"/>
        <v/>
      </c>
    </row>
    <row r="1838" spans="4:20" x14ac:dyDescent="0.25">
      <c r="D1838" s="38" t="str">
        <f t="shared" si="112"/>
        <v/>
      </c>
      <c r="E1838" s="38" t="str">
        <f t="shared" si="113"/>
        <v/>
      </c>
      <c r="G1838" s="1"/>
      <c r="L1838" s="39" t="str">
        <f t="shared" si="114"/>
        <v/>
      </c>
      <c r="T1838" s="39" t="str">
        <f t="shared" si="115"/>
        <v/>
      </c>
    </row>
    <row r="1839" spans="4:20" x14ac:dyDescent="0.25">
      <c r="D1839" s="38" t="str">
        <f t="shared" si="112"/>
        <v/>
      </c>
      <c r="E1839" s="38" t="str">
        <f t="shared" si="113"/>
        <v/>
      </c>
      <c r="G1839" s="1"/>
      <c r="L1839" s="39" t="str">
        <f t="shared" si="114"/>
        <v/>
      </c>
      <c r="T1839" s="39" t="str">
        <f t="shared" si="115"/>
        <v/>
      </c>
    </row>
    <row r="1840" spans="4:20" x14ac:dyDescent="0.25">
      <c r="D1840" s="38" t="str">
        <f t="shared" si="112"/>
        <v/>
      </c>
      <c r="E1840" s="38" t="str">
        <f t="shared" si="113"/>
        <v/>
      </c>
      <c r="G1840" s="1"/>
      <c r="L1840" s="39" t="str">
        <f t="shared" si="114"/>
        <v/>
      </c>
      <c r="T1840" s="39" t="str">
        <f t="shared" si="115"/>
        <v/>
      </c>
    </row>
    <row r="1841" spans="4:20" x14ac:dyDescent="0.25">
      <c r="D1841" s="38" t="str">
        <f t="shared" si="112"/>
        <v/>
      </c>
      <c r="E1841" s="38" t="str">
        <f t="shared" si="113"/>
        <v/>
      </c>
      <c r="G1841" s="1"/>
      <c r="L1841" s="39" t="str">
        <f t="shared" si="114"/>
        <v/>
      </c>
      <c r="T1841" s="39" t="str">
        <f t="shared" si="115"/>
        <v/>
      </c>
    </row>
    <row r="1842" spans="4:20" x14ac:dyDescent="0.25">
      <c r="D1842" s="38" t="str">
        <f t="shared" si="112"/>
        <v/>
      </c>
      <c r="E1842" s="38" t="str">
        <f t="shared" si="113"/>
        <v/>
      </c>
      <c r="G1842" s="1"/>
      <c r="L1842" s="39" t="str">
        <f t="shared" si="114"/>
        <v/>
      </c>
      <c r="T1842" s="39" t="str">
        <f t="shared" si="115"/>
        <v/>
      </c>
    </row>
    <row r="1843" spans="4:20" x14ac:dyDescent="0.25">
      <c r="D1843" s="38" t="str">
        <f t="shared" si="112"/>
        <v/>
      </c>
      <c r="E1843" s="38" t="str">
        <f t="shared" si="113"/>
        <v/>
      </c>
      <c r="G1843" s="1"/>
      <c r="L1843" s="39" t="str">
        <f t="shared" si="114"/>
        <v/>
      </c>
      <c r="T1843" s="39" t="str">
        <f t="shared" si="115"/>
        <v/>
      </c>
    </row>
    <row r="1844" spans="4:20" x14ac:dyDescent="0.25">
      <c r="D1844" s="38" t="str">
        <f t="shared" si="112"/>
        <v/>
      </c>
      <c r="E1844" s="38" t="str">
        <f t="shared" si="113"/>
        <v/>
      </c>
      <c r="G1844" s="1"/>
      <c r="L1844" s="39" t="str">
        <f t="shared" si="114"/>
        <v/>
      </c>
      <c r="T1844" s="39" t="str">
        <f t="shared" si="115"/>
        <v/>
      </c>
    </row>
    <row r="1845" spans="4:20" x14ac:dyDescent="0.25">
      <c r="D1845" s="38" t="str">
        <f t="shared" si="112"/>
        <v/>
      </c>
      <c r="E1845" s="38" t="str">
        <f t="shared" si="113"/>
        <v/>
      </c>
      <c r="G1845" s="1"/>
      <c r="L1845" s="39" t="str">
        <f t="shared" si="114"/>
        <v/>
      </c>
      <c r="T1845" s="39" t="str">
        <f t="shared" si="115"/>
        <v/>
      </c>
    </row>
    <row r="1846" spans="4:20" x14ac:dyDescent="0.25">
      <c r="D1846" s="38" t="str">
        <f t="shared" si="112"/>
        <v/>
      </c>
      <c r="E1846" s="38" t="str">
        <f t="shared" si="113"/>
        <v/>
      </c>
      <c r="G1846" s="1"/>
      <c r="L1846" s="39" t="str">
        <f t="shared" si="114"/>
        <v/>
      </c>
      <c r="T1846" s="39" t="str">
        <f t="shared" si="115"/>
        <v/>
      </c>
    </row>
    <row r="1847" spans="4:20" x14ac:dyDescent="0.25">
      <c r="D1847" s="38" t="str">
        <f t="shared" si="112"/>
        <v/>
      </c>
      <c r="E1847" s="38" t="str">
        <f t="shared" si="113"/>
        <v/>
      </c>
      <c r="G1847" s="1"/>
      <c r="L1847" s="39" t="str">
        <f t="shared" si="114"/>
        <v/>
      </c>
      <c r="T1847" s="39" t="str">
        <f t="shared" si="115"/>
        <v/>
      </c>
    </row>
    <row r="1848" spans="4:20" x14ac:dyDescent="0.25">
      <c r="D1848" s="38" t="str">
        <f t="shared" si="112"/>
        <v/>
      </c>
      <c r="E1848" s="38" t="str">
        <f t="shared" si="113"/>
        <v/>
      </c>
      <c r="G1848" s="1"/>
      <c r="L1848" s="39" t="str">
        <f t="shared" si="114"/>
        <v/>
      </c>
      <c r="T1848" s="39" t="str">
        <f t="shared" si="115"/>
        <v/>
      </c>
    </row>
    <row r="1849" spans="4:20" x14ac:dyDescent="0.25">
      <c r="D1849" s="38" t="str">
        <f t="shared" si="112"/>
        <v/>
      </c>
      <c r="E1849" s="38" t="str">
        <f t="shared" si="113"/>
        <v/>
      </c>
      <c r="G1849" s="1"/>
      <c r="L1849" s="39" t="str">
        <f t="shared" si="114"/>
        <v/>
      </c>
      <c r="T1849" s="39" t="str">
        <f t="shared" si="115"/>
        <v/>
      </c>
    </row>
    <row r="1850" spans="4:20" x14ac:dyDescent="0.25">
      <c r="D1850" s="38" t="str">
        <f t="shared" si="112"/>
        <v/>
      </c>
      <c r="E1850" s="38" t="str">
        <f t="shared" si="113"/>
        <v/>
      </c>
      <c r="G1850" s="1"/>
      <c r="L1850" s="39" t="str">
        <f t="shared" si="114"/>
        <v/>
      </c>
      <c r="T1850" s="39" t="str">
        <f t="shared" si="115"/>
        <v/>
      </c>
    </row>
    <row r="1851" spans="4:20" x14ac:dyDescent="0.25">
      <c r="D1851" s="38" t="str">
        <f t="shared" si="112"/>
        <v/>
      </c>
      <c r="E1851" s="38" t="str">
        <f t="shared" si="113"/>
        <v/>
      </c>
      <c r="G1851" s="1"/>
      <c r="L1851" s="39" t="str">
        <f t="shared" si="114"/>
        <v/>
      </c>
      <c r="T1851" s="39" t="str">
        <f t="shared" si="115"/>
        <v/>
      </c>
    </row>
    <row r="1852" spans="4:20" x14ac:dyDescent="0.25">
      <c r="D1852" s="38" t="str">
        <f t="shared" si="112"/>
        <v/>
      </c>
      <c r="E1852" s="38" t="str">
        <f t="shared" si="113"/>
        <v/>
      </c>
      <c r="G1852" s="1"/>
      <c r="L1852" s="39" t="str">
        <f t="shared" si="114"/>
        <v/>
      </c>
      <c r="T1852" s="39" t="str">
        <f t="shared" si="115"/>
        <v/>
      </c>
    </row>
    <row r="1853" spans="4:20" x14ac:dyDescent="0.25">
      <c r="D1853" s="38" t="str">
        <f t="shared" si="112"/>
        <v/>
      </c>
      <c r="E1853" s="38" t="str">
        <f t="shared" si="113"/>
        <v/>
      </c>
      <c r="G1853" s="1"/>
      <c r="L1853" s="39" t="str">
        <f t="shared" si="114"/>
        <v/>
      </c>
      <c r="T1853" s="39" t="str">
        <f t="shared" si="115"/>
        <v/>
      </c>
    </row>
    <row r="1854" spans="4:20" x14ac:dyDescent="0.25">
      <c r="D1854" s="38" t="str">
        <f t="shared" si="112"/>
        <v/>
      </c>
      <c r="E1854" s="38" t="str">
        <f t="shared" si="113"/>
        <v/>
      </c>
      <c r="G1854" s="1"/>
      <c r="L1854" s="39" t="str">
        <f t="shared" si="114"/>
        <v/>
      </c>
      <c r="T1854" s="39" t="str">
        <f t="shared" si="115"/>
        <v/>
      </c>
    </row>
    <row r="1855" spans="4:20" x14ac:dyDescent="0.25">
      <c r="D1855" s="38" t="str">
        <f t="shared" si="112"/>
        <v/>
      </c>
      <c r="E1855" s="38" t="str">
        <f t="shared" si="113"/>
        <v/>
      </c>
      <c r="G1855" s="1"/>
      <c r="L1855" s="39" t="str">
        <f t="shared" si="114"/>
        <v/>
      </c>
      <c r="T1855" s="39" t="str">
        <f t="shared" si="115"/>
        <v/>
      </c>
    </row>
    <row r="1856" spans="4:20" x14ac:dyDescent="0.25">
      <c r="D1856" s="38" t="str">
        <f t="shared" si="112"/>
        <v/>
      </c>
      <c r="E1856" s="38" t="str">
        <f t="shared" si="113"/>
        <v/>
      </c>
      <c r="G1856" s="1"/>
      <c r="L1856" s="39" t="str">
        <f t="shared" si="114"/>
        <v/>
      </c>
      <c r="T1856" s="39" t="str">
        <f t="shared" si="115"/>
        <v/>
      </c>
    </row>
    <row r="1857" spans="4:20" x14ac:dyDescent="0.25">
      <c r="D1857" s="38" t="str">
        <f t="shared" si="112"/>
        <v/>
      </c>
      <c r="E1857" s="38" t="str">
        <f t="shared" si="113"/>
        <v/>
      </c>
      <c r="G1857" s="1"/>
      <c r="L1857" s="39" t="str">
        <f t="shared" si="114"/>
        <v/>
      </c>
      <c r="T1857" s="39" t="str">
        <f t="shared" si="115"/>
        <v/>
      </c>
    </row>
    <row r="1858" spans="4:20" x14ac:dyDescent="0.25">
      <c r="D1858" s="38" t="str">
        <f t="shared" ref="D1858:D1921" si="116">IF($B1858="", "", CHOOSE(MONTH($B1858), "Gennaio","Febbraio","Marzo","Aprile","Maggio","Giugno","Luglio","Agosto","Settembre","Ottobre","Novembre","Dicembre"))</f>
        <v/>
      </c>
      <c r="E1858" s="38" t="str">
        <f t="shared" ref="E1858:E1921" si="117">IF($B1858="", "", CHOOSE(WEEKDAY($B1858,2), "Lunedì","Martedì","Mercoledì","Giovedì","Venerdì","Sabato","Domenica"))</f>
        <v/>
      </c>
      <c r="G1858" s="1"/>
      <c r="L1858" s="39" t="str">
        <f t="shared" ref="L1858:L1921" si="118">IF($K1858="Target", $G1858*$H1858, IF($K1858="Stop Loss", -$G1858, IF($K1858="Breakeven", 0, "")))</f>
        <v/>
      </c>
      <c r="T1858" s="39" t="str">
        <f t="shared" si="115"/>
        <v/>
      </c>
    </row>
    <row r="1859" spans="4:20" x14ac:dyDescent="0.25">
      <c r="D1859" s="38" t="str">
        <f t="shared" si="116"/>
        <v/>
      </c>
      <c r="E1859" s="38" t="str">
        <f t="shared" si="117"/>
        <v/>
      </c>
      <c r="G1859" s="1"/>
      <c r="L1859" s="39" t="str">
        <f t="shared" si="118"/>
        <v/>
      </c>
      <c r="T1859" s="39" t="str">
        <f t="shared" ref="T1859:T1922" si="119">IF($L1859="", "", $T1858 + $L1859)</f>
        <v/>
      </c>
    </row>
    <row r="1860" spans="4:20" x14ac:dyDescent="0.25">
      <c r="D1860" s="38" t="str">
        <f t="shared" si="116"/>
        <v/>
      </c>
      <c r="E1860" s="38" t="str">
        <f t="shared" si="117"/>
        <v/>
      </c>
      <c r="G1860" s="1"/>
      <c r="L1860" s="39" t="str">
        <f t="shared" si="118"/>
        <v/>
      </c>
      <c r="T1860" s="39" t="str">
        <f t="shared" si="119"/>
        <v/>
      </c>
    </row>
    <row r="1861" spans="4:20" x14ac:dyDescent="0.25">
      <c r="D1861" s="38" t="str">
        <f t="shared" si="116"/>
        <v/>
      </c>
      <c r="E1861" s="38" t="str">
        <f t="shared" si="117"/>
        <v/>
      </c>
      <c r="G1861" s="1"/>
      <c r="L1861" s="39" t="str">
        <f t="shared" si="118"/>
        <v/>
      </c>
      <c r="T1861" s="39" t="str">
        <f t="shared" si="119"/>
        <v/>
      </c>
    </row>
    <row r="1862" spans="4:20" x14ac:dyDescent="0.25">
      <c r="D1862" s="38" t="str">
        <f t="shared" si="116"/>
        <v/>
      </c>
      <c r="E1862" s="38" t="str">
        <f t="shared" si="117"/>
        <v/>
      </c>
      <c r="G1862" s="1"/>
      <c r="L1862" s="39" t="str">
        <f t="shared" si="118"/>
        <v/>
      </c>
      <c r="T1862" s="39" t="str">
        <f t="shared" si="119"/>
        <v/>
      </c>
    </row>
    <row r="1863" spans="4:20" x14ac:dyDescent="0.25">
      <c r="D1863" s="38" t="str">
        <f t="shared" si="116"/>
        <v/>
      </c>
      <c r="E1863" s="38" t="str">
        <f t="shared" si="117"/>
        <v/>
      </c>
      <c r="G1863" s="1"/>
      <c r="L1863" s="39" t="str">
        <f t="shared" si="118"/>
        <v/>
      </c>
      <c r="T1863" s="39" t="str">
        <f t="shared" si="119"/>
        <v/>
      </c>
    </row>
    <row r="1864" spans="4:20" x14ac:dyDescent="0.25">
      <c r="D1864" s="38" t="str">
        <f t="shared" si="116"/>
        <v/>
      </c>
      <c r="E1864" s="38" t="str">
        <f t="shared" si="117"/>
        <v/>
      </c>
      <c r="G1864" s="1"/>
      <c r="L1864" s="39" t="str">
        <f t="shared" si="118"/>
        <v/>
      </c>
      <c r="T1864" s="39" t="str">
        <f t="shared" si="119"/>
        <v/>
      </c>
    </row>
    <row r="1865" spans="4:20" x14ac:dyDescent="0.25">
      <c r="D1865" s="38" t="str">
        <f t="shared" si="116"/>
        <v/>
      </c>
      <c r="E1865" s="38" t="str">
        <f t="shared" si="117"/>
        <v/>
      </c>
      <c r="G1865" s="1"/>
      <c r="L1865" s="39" t="str">
        <f t="shared" si="118"/>
        <v/>
      </c>
      <c r="T1865" s="39" t="str">
        <f t="shared" si="119"/>
        <v/>
      </c>
    </row>
    <row r="1866" spans="4:20" x14ac:dyDescent="0.25">
      <c r="D1866" s="38" t="str">
        <f t="shared" si="116"/>
        <v/>
      </c>
      <c r="E1866" s="38" t="str">
        <f t="shared" si="117"/>
        <v/>
      </c>
      <c r="G1866" s="1"/>
      <c r="L1866" s="39" t="str">
        <f t="shared" si="118"/>
        <v/>
      </c>
      <c r="T1866" s="39" t="str">
        <f t="shared" si="119"/>
        <v/>
      </c>
    </row>
    <row r="1867" spans="4:20" x14ac:dyDescent="0.25">
      <c r="D1867" s="38" t="str">
        <f t="shared" si="116"/>
        <v/>
      </c>
      <c r="E1867" s="38" t="str">
        <f t="shared" si="117"/>
        <v/>
      </c>
      <c r="G1867" s="1"/>
      <c r="L1867" s="39" t="str">
        <f t="shared" si="118"/>
        <v/>
      </c>
      <c r="T1867" s="39" t="str">
        <f t="shared" si="119"/>
        <v/>
      </c>
    </row>
    <row r="1868" spans="4:20" x14ac:dyDescent="0.25">
      <c r="D1868" s="38" t="str">
        <f t="shared" si="116"/>
        <v/>
      </c>
      <c r="E1868" s="38" t="str">
        <f t="shared" si="117"/>
        <v/>
      </c>
      <c r="G1868" s="1"/>
      <c r="L1868" s="39" t="str">
        <f t="shared" si="118"/>
        <v/>
      </c>
      <c r="T1868" s="39" t="str">
        <f t="shared" si="119"/>
        <v/>
      </c>
    </row>
    <row r="1869" spans="4:20" x14ac:dyDescent="0.25">
      <c r="D1869" s="38" t="str">
        <f t="shared" si="116"/>
        <v/>
      </c>
      <c r="E1869" s="38" t="str">
        <f t="shared" si="117"/>
        <v/>
      </c>
      <c r="G1869" s="1"/>
      <c r="L1869" s="39" t="str">
        <f t="shared" si="118"/>
        <v/>
      </c>
      <c r="T1869" s="39" t="str">
        <f t="shared" si="119"/>
        <v/>
      </c>
    </row>
    <row r="1870" spans="4:20" x14ac:dyDescent="0.25">
      <c r="D1870" s="38" t="str">
        <f t="shared" si="116"/>
        <v/>
      </c>
      <c r="E1870" s="38" t="str">
        <f t="shared" si="117"/>
        <v/>
      </c>
      <c r="G1870" s="1"/>
      <c r="L1870" s="39" t="str">
        <f t="shared" si="118"/>
        <v/>
      </c>
      <c r="T1870" s="39" t="str">
        <f t="shared" si="119"/>
        <v/>
      </c>
    </row>
    <row r="1871" spans="4:20" x14ac:dyDescent="0.25">
      <c r="D1871" s="38" t="str">
        <f t="shared" si="116"/>
        <v/>
      </c>
      <c r="E1871" s="38" t="str">
        <f t="shared" si="117"/>
        <v/>
      </c>
      <c r="G1871" s="1"/>
      <c r="L1871" s="39" t="str">
        <f t="shared" si="118"/>
        <v/>
      </c>
      <c r="T1871" s="39" t="str">
        <f t="shared" si="119"/>
        <v/>
      </c>
    </row>
    <row r="1872" spans="4:20" x14ac:dyDescent="0.25">
      <c r="D1872" s="38" t="str">
        <f t="shared" si="116"/>
        <v/>
      </c>
      <c r="E1872" s="38" t="str">
        <f t="shared" si="117"/>
        <v/>
      </c>
      <c r="G1872" s="1"/>
      <c r="L1872" s="39" t="str">
        <f t="shared" si="118"/>
        <v/>
      </c>
      <c r="T1872" s="39" t="str">
        <f t="shared" si="119"/>
        <v/>
      </c>
    </row>
    <row r="1873" spans="4:20" x14ac:dyDescent="0.25">
      <c r="D1873" s="38" t="str">
        <f t="shared" si="116"/>
        <v/>
      </c>
      <c r="E1873" s="38" t="str">
        <f t="shared" si="117"/>
        <v/>
      </c>
      <c r="G1873" s="1"/>
      <c r="L1873" s="39" t="str">
        <f t="shared" si="118"/>
        <v/>
      </c>
      <c r="T1873" s="39" t="str">
        <f t="shared" si="119"/>
        <v/>
      </c>
    </row>
    <row r="1874" spans="4:20" x14ac:dyDescent="0.25">
      <c r="D1874" s="38" t="str">
        <f t="shared" si="116"/>
        <v/>
      </c>
      <c r="E1874" s="38" t="str">
        <f t="shared" si="117"/>
        <v/>
      </c>
      <c r="G1874" s="1"/>
      <c r="L1874" s="39" t="str">
        <f t="shared" si="118"/>
        <v/>
      </c>
      <c r="T1874" s="39" t="str">
        <f t="shared" si="119"/>
        <v/>
      </c>
    </row>
    <row r="1875" spans="4:20" x14ac:dyDescent="0.25">
      <c r="D1875" s="38" t="str">
        <f t="shared" si="116"/>
        <v/>
      </c>
      <c r="E1875" s="38" t="str">
        <f t="shared" si="117"/>
        <v/>
      </c>
      <c r="G1875" s="1"/>
      <c r="L1875" s="39" t="str">
        <f t="shared" si="118"/>
        <v/>
      </c>
      <c r="T1875" s="39" t="str">
        <f t="shared" si="119"/>
        <v/>
      </c>
    </row>
    <row r="1876" spans="4:20" x14ac:dyDescent="0.25">
      <c r="D1876" s="38" t="str">
        <f t="shared" si="116"/>
        <v/>
      </c>
      <c r="E1876" s="38" t="str">
        <f t="shared" si="117"/>
        <v/>
      </c>
      <c r="G1876" s="1"/>
      <c r="L1876" s="39" t="str">
        <f t="shared" si="118"/>
        <v/>
      </c>
      <c r="T1876" s="39" t="str">
        <f t="shared" si="119"/>
        <v/>
      </c>
    </row>
    <row r="1877" spans="4:20" x14ac:dyDescent="0.25">
      <c r="D1877" s="38" t="str">
        <f t="shared" si="116"/>
        <v/>
      </c>
      <c r="E1877" s="38" t="str">
        <f t="shared" si="117"/>
        <v/>
      </c>
      <c r="G1877" s="1"/>
      <c r="L1877" s="39" t="str">
        <f t="shared" si="118"/>
        <v/>
      </c>
      <c r="T1877" s="39" t="str">
        <f t="shared" si="119"/>
        <v/>
      </c>
    </row>
    <row r="1878" spans="4:20" x14ac:dyDescent="0.25">
      <c r="D1878" s="38" t="str">
        <f t="shared" si="116"/>
        <v/>
      </c>
      <c r="E1878" s="38" t="str">
        <f t="shared" si="117"/>
        <v/>
      </c>
      <c r="G1878" s="1"/>
      <c r="L1878" s="39" t="str">
        <f t="shared" si="118"/>
        <v/>
      </c>
      <c r="T1878" s="39" t="str">
        <f t="shared" si="119"/>
        <v/>
      </c>
    </row>
    <row r="1879" spans="4:20" x14ac:dyDescent="0.25">
      <c r="D1879" s="38" t="str">
        <f t="shared" si="116"/>
        <v/>
      </c>
      <c r="E1879" s="38" t="str">
        <f t="shared" si="117"/>
        <v/>
      </c>
      <c r="G1879" s="1"/>
      <c r="L1879" s="39" t="str">
        <f t="shared" si="118"/>
        <v/>
      </c>
      <c r="T1879" s="39" t="str">
        <f t="shared" si="119"/>
        <v/>
      </c>
    </row>
    <row r="1880" spans="4:20" x14ac:dyDescent="0.25">
      <c r="D1880" s="38" t="str">
        <f t="shared" si="116"/>
        <v/>
      </c>
      <c r="E1880" s="38" t="str">
        <f t="shared" si="117"/>
        <v/>
      </c>
      <c r="G1880" s="1"/>
      <c r="L1880" s="39" t="str">
        <f t="shared" si="118"/>
        <v/>
      </c>
      <c r="T1880" s="39" t="str">
        <f t="shared" si="119"/>
        <v/>
      </c>
    </row>
    <row r="1881" spans="4:20" x14ac:dyDescent="0.25">
      <c r="D1881" s="38" t="str">
        <f t="shared" si="116"/>
        <v/>
      </c>
      <c r="E1881" s="38" t="str">
        <f t="shared" si="117"/>
        <v/>
      </c>
      <c r="G1881" s="1"/>
      <c r="L1881" s="39" t="str">
        <f t="shared" si="118"/>
        <v/>
      </c>
      <c r="T1881" s="39" t="str">
        <f t="shared" si="119"/>
        <v/>
      </c>
    </row>
    <row r="1882" spans="4:20" x14ac:dyDescent="0.25">
      <c r="D1882" s="38" t="str">
        <f t="shared" si="116"/>
        <v/>
      </c>
      <c r="E1882" s="38" t="str">
        <f t="shared" si="117"/>
        <v/>
      </c>
      <c r="G1882" s="1"/>
      <c r="L1882" s="39" t="str">
        <f t="shared" si="118"/>
        <v/>
      </c>
      <c r="T1882" s="39" t="str">
        <f t="shared" si="119"/>
        <v/>
      </c>
    </row>
    <row r="1883" spans="4:20" x14ac:dyDescent="0.25">
      <c r="D1883" s="38" t="str">
        <f t="shared" si="116"/>
        <v/>
      </c>
      <c r="E1883" s="38" t="str">
        <f t="shared" si="117"/>
        <v/>
      </c>
      <c r="G1883" s="1"/>
      <c r="L1883" s="39" t="str">
        <f t="shared" si="118"/>
        <v/>
      </c>
      <c r="T1883" s="39" t="str">
        <f t="shared" si="119"/>
        <v/>
      </c>
    </row>
    <row r="1884" spans="4:20" x14ac:dyDescent="0.25">
      <c r="D1884" s="38" t="str">
        <f t="shared" si="116"/>
        <v/>
      </c>
      <c r="E1884" s="38" t="str">
        <f t="shared" si="117"/>
        <v/>
      </c>
      <c r="G1884" s="1"/>
      <c r="L1884" s="39" t="str">
        <f t="shared" si="118"/>
        <v/>
      </c>
      <c r="T1884" s="39" t="str">
        <f t="shared" si="119"/>
        <v/>
      </c>
    </row>
    <row r="1885" spans="4:20" x14ac:dyDescent="0.25">
      <c r="D1885" s="38" t="str">
        <f t="shared" si="116"/>
        <v/>
      </c>
      <c r="E1885" s="38" t="str">
        <f t="shared" si="117"/>
        <v/>
      </c>
      <c r="G1885" s="1"/>
      <c r="L1885" s="39" t="str">
        <f t="shared" si="118"/>
        <v/>
      </c>
      <c r="T1885" s="39" t="str">
        <f t="shared" si="119"/>
        <v/>
      </c>
    </row>
    <row r="1886" spans="4:20" x14ac:dyDescent="0.25">
      <c r="D1886" s="38" t="str">
        <f t="shared" si="116"/>
        <v/>
      </c>
      <c r="E1886" s="38" t="str">
        <f t="shared" si="117"/>
        <v/>
      </c>
      <c r="G1886" s="1"/>
      <c r="L1886" s="39" t="str">
        <f t="shared" si="118"/>
        <v/>
      </c>
      <c r="T1886" s="39" t="str">
        <f t="shared" si="119"/>
        <v/>
      </c>
    </row>
    <row r="1887" spans="4:20" x14ac:dyDescent="0.25">
      <c r="D1887" s="38" t="str">
        <f t="shared" si="116"/>
        <v/>
      </c>
      <c r="E1887" s="38" t="str">
        <f t="shared" si="117"/>
        <v/>
      </c>
      <c r="G1887" s="1"/>
      <c r="L1887" s="39" t="str">
        <f t="shared" si="118"/>
        <v/>
      </c>
      <c r="T1887" s="39" t="str">
        <f t="shared" si="119"/>
        <v/>
      </c>
    </row>
    <row r="1888" spans="4:20" x14ac:dyDescent="0.25">
      <c r="D1888" s="38" t="str">
        <f t="shared" si="116"/>
        <v/>
      </c>
      <c r="E1888" s="38" t="str">
        <f t="shared" si="117"/>
        <v/>
      </c>
      <c r="G1888" s="1"/>
      <c r="L1888" s="39" t="str">
        <f t="shared" si="118"/>
        <v/>
      </c>
      <c r="T1888" s="39" t="str">
        <f t="shared" si="119"/>
        <v/>
      </c>
    </row>
    <row r="1889" spans="4:20" x14ac:dyDescent="0.25">
      <c r="D1889" s="38" t="str">
        <f t="shared" si="116"/>
        <v/>
      </c>
      <c r="E1889" s="38" t="str">
        <f t="shared" si="117"/>
        <v/>
      </c>
      <c r="G1889" s="1"/>
      <c r="L1889" s="39" t="str">
        <f t="shared" si="118"/>
        <v/>
      </c>
      <c r="T1889" s="39" t="str">
        <f t="shared" si="119"/>
        <v/>
      </c>
    </row>
    <row r="1890" spans="4:20" x14ac:dyDescent="0.25">
      <c r="D1890" s="38" t="str">
        <f t="shared" si="116"/>
        <v/>
      </c>
      <c r="E1890" s="38" t="str">
        <f t="shared" si="117"/>
        <v/>
      </c>
      <c r="G1890" s="1"/>
      <c r="L1890" s="39" t="str">
        <f t="shared" si="118"/>
        <v/>
      </c>
      <c r="T1890" s="39" t="str">
        <f t="shared" si="119"/>
        <v/>
      </c>
    </row>
    <row r="1891" spans="4:20" x14ac:dyDescent="0.25">
      <c r="D1891" s="38" t="str">
        <f t="shared" si="116"/>
        <v/>
      </c>
      <c r="E1891" s="38" t="str">
        <f t="shared" si="117"/>
        <v/>
      </c>
      <c r="G1891" s="1"/>
      <c r="L1891" s="39" t="str">
        <f t="shared" si="118"/>
        <v/>
      </c>
      <c r="T1891" s="39" t="str">
        <f t="shared" si="119"/>
        <v/>
      </c>
    </row>
    <row r="1892" spans="4:20" x14ac:dyDescent="0.25">
      <c r="D1892" s="38" t="str">
        <f t="shared" si="116"/>
        <v/>
      </c>
      <c r="E1892" s="38" t="str">
        <f t="shared" si="117"/>
        <v/>
      </c>
      <c r="G1892" s="1"/>
      <c r="L1892" s="39" t="str">
        <f t="shared" si="118"/>
        <v/>
      </c>
      <c r="T1892" s="39" t="str">
        <f t="shared" si="119"/>
        <v/>
      </c>
    </row>
    <row r="1893" spans="4:20" x14ac:dyDescent="0.25">
      <c r="D1893" s="38" t="str">
        <f t="shared" si="116"/>
        <v/>
      </c>
      <c r="E1893" s="38" t="str">
        <f t="shared" si="117"/>
        <v/>
      </c>
      <c r="G1893" s="1"/>
      <c r="L1893" s="39" t="str">
        <f t="shared" si="118"/>
        <v/>
      </c>
      <c r="T1893" s="39" t="str">
        <f t="shared" si="119"/>
        <v/>
      </c>
    </row>
    <row r="1894" spans="4:20" x14ac:dyDescent="0.25">
      <c r="D1894" s="38" t="str">
        <f t="shared" si="116"/>
        <v/>
      </c>
      <c r="E1894" s="38" t="str">
        <f t="shared" si="117"/>
        <v/>
      </c>
      <c r="G1894" s="1"/>
      <c r="L1894" s="39" t="str">
        <f t="shared" si="118"/>
        <v/>
      </c>
      <c r="T1894" s="39" t="str">
        <f t="shared" si="119"/>
        <v/>
      </c>
    </row>
    <row r="1895" spans="4:20" x14ac:dyDescent="0.25">
      <c r="D1895" s="38" t="str">
        <f t="shared" si="116"/>
        <v/>
      </c>
      <c r="E1895" s="38" t="str">
        <f t="shared" si="117"/>
        <v/>
      </c>
      <c r="G1895" s="1"/>
      <c r="L1895" s="39" t="str">
        <f t="shared" si="118"/>
        <v/>
      </c>
      <c r="T1895" s="39" t="str">
        <f t="shared" si="119"/>
        <v/>
      </c>
    </row>
    <row r="1896" spans="4:20" x14ac:dyDescent="0.25">
      <c r="D1896" s="38" t="str">
        <f t="shared" si="116"/>
        <v/>
      </c>
      <c r="E1896" s="38" t="str">
        <f t="shared" si="117"/>
        <v/>
      </c>
      <c r="G1896" s="1"/>
      <c r="L1896" s="39" t="str">
        <f t="shared" si="118"/>
        <v/>
      </c>
      <c r="T1896" s="39" t="str">
        <f t="shared" si="119"/>
        <v/>
      </c>
    </row>
    <row r="1897" spans="4:20" x14ac:dyDescent="0.25">
      <c r="D1897" s="38" t="str">
        <f t="shared" si="116"/>
        <v/>
      </c>
      <c r="E1897" s="38" t="str">
        <f t="shared" si="117"/>
        <v/>
      </c>
      <c r="G1897" s="1"/>
      <c r="L1897" s="39" t="str">
        <f t="shared" si="118"/>
        <v/>
      </c>
      <c r="T1897" s="39" t="str">
        <f t="shared" si="119"/>
        <v/>
      </c>
    </row>
    <row r="1898" spans="4:20" x14ac:dyDescent="0.25">
      <c r="D1898" s="38" t="str">
        <f t="shared" si="116"/>
        <v/>
      </c>
      <c r="E1898" s="38" t="str">
        <f t="shared" si="117"/>
        <v/>
      </c>
      <c r="G1898" s="1"/>
      <c r="L1898" s="39" t="str">
        <f t="shared" si="118"/>
        <v/>
      </c>
      <c r="T1898" s="39" t="str">
        <f t="shared" si="119"/>
        <v/>
      </c>
    </row>
    <row r="1899" spans="4:20" x14ac:dyDescent="0.25">
      <c r="D1899" s="38" t="str">
        <f t="shared" si="116"/>
        <v/>
      </c>
      <c r="E1899" s="38" t="str">
        <f t="shared" si="117"/>
        <v/>
      </c>
      <c r="G1899" s="1"/>
      <c r="L1899" s="39" t="str">
        <f t="shared" si="118"/>
        <v/>
      </c>
      <c r="T1899" s="39" t="str">
        <f t="shared" si="119"/>
        <v/>
      </c>
    </row>
    <row r="1900" spans="4:20" x14ac:dyDescent="0.25">
      <c r="D1900" s="38" t="str">
        <f t="shared" si="116"/>
        <v/>
      </c>
      <c r="E1900" s="38" t="str">
        <f t="shared" si="117"/>
        <v/>
      </c>
      <c r="G1900" s="1"/>
      <c r="L1900" s="39" t="str">
        <f t="shared" si="118"/>
        <v/>
      </c>
      <c r="T1900" s="39" t="str">
        <f t="shared" si="119"/>
        <v/>
      </c>
    </row>
    <row r="1901" spans="4:20" x14ac:dyDescent="0.25">
      <c r="D1901" s="38" t="str">
        <f t="shared" si="116"/>
        <v/>
      </c>
      <c r="E1901" s="38" t="str">
        <f t="shared" si="117"/>
        <v/>
      </c>
      <c r="G1901" s="1"/>
      <c r="L1901" s="39" t="str">
        <f t="shared" si="118"/>
        <v/>
      </c>
      <c r="T1901" s="39" t="str">
        <f t="shared" si="119"/>
        <v/>
      </c>
    </row>
    <row r="1902" spans="4:20" x14ac:dyDescent="0.25">
      <c r="D1902" s="38" t="str">
        <f t="shared" si="116"/>
        <v/>
      </c>
      <c r="E1902" s="38" t="str">
        <f t="shared" si="117"/>
        <v/>
      </c>
      <c r="G1902" s="1"/>
      <c r="L1902" s="39" t="str">
        <f t="shared" si="118"/>
        <v/>
      </c>
      <c r="T1902" s="39" t="str">
        <f t="shared" si="119"/>
        <v/>
      </c>
    </row>
    <row r="1903" spans="4:20" x14ac:dyDescent="0.25">
      <c r="D1903" s="38" t="str">
        <f t="shared" si="116"/>
        <v/>
      </c>
      <c r="E1903" s="38" t="str">
        <f t="shared" si="117"/>
        <v/>
      </c>
      <c r="G1903" s="1"/>
      <c r="L1903" s="39" t="str">
        <f t="shared" si="118"/>
        <v/>
      </c>
      <c r="T1903" s="39" t="str">
        <f t="shared" si="119"/>
        <v/>
      </c>
    </row>
    <row r="1904" spans="4:20" x14ac:dyDescent="0.25">
      <c r="D1904" s="38" t="str">
        <f t="shared" si="116"/>
        <v/>
      </c>
      <c r="E1904" s="38" t="str">
        <f t="shared" si="117"/>
        <v/>
      </c>
      <c r="G1904" s="1"/>
      <c r="L1904" s="39" t="str">
        <f t="shared" si="118"/>
        <v/>
      </c>
      <c r="T1904" s="39" t="str">
        <f t="shared" si="119"/>
        <v/>
      </c>
    </row>
    <row r="1905" spans="4:20" x14ac:dyDescent="0.25">
      <c r="D1905" s="38" t="str">
        <f t="shared" si="116"/>
        <v/>
      </c>
      <c r="E1905" s="38" t="str">
        <f t="shared" si="117"/>
        <v/>
      </c>
      <c r="G1905" s="1"/>
      <c r="L1905" s="39" t="str">
        <f t="shared" si="118"/>
        <v/>
      </c>
      <c r="T1905" s="39" t="str">
        <f t="shared" si="119"/>
        <v/>
      </c>
    </row>
    <row r="1906" spans="4:20" x14ac:dyDescent="0.25">
      <c r="D1906" s="38" t="str">
        <f t="shared" si="116"/>
        <v/>
      </c>
      <c r="E1906" s="38" t="str">
        <f t="shared" si="117"/>
        <v/>
      </c>
      <c r="G1906" s="1"/>
      <c r="L1906" s="39" t="str">
        <f t="shared" si="118"/>
        <v/>
      </c>
      <c r="T1906" s="39" t="str">
        <f t="shared" si="119"/>
        <v/>
      </c>
    </row>
    <row r="1907" spans="4:20" x14ac:dyDescent="0.25">
      <c r="D1907" s="38" t="str">
        <f t="shared" si="116"/>
        <v/>
      </c>
      <c r="E1907" s="38" t="str">
        <f t="shared" si="117"/>
        <v/>
      </c>
      <c r="G1907" s="1"/>
      <c r="L1907" s="39" t="str">
        <f t="shared" si="118"/>
        <v/>
      </c>
      <c r="T1907" s="39" t="str">
        <f t="shared" si="119"/>
        <v/>
      </c>
    </row>
    <row r="1908" spans="4:20" x14ac:dyDescent="0.25">
      <c r="D1908" s="38" t="str">
        <f t="shared" si="116"/>
        <v/>
      </c>
      <c r="E1908" s="38" t="str">
        <f t="shared" si="117"/>
        <v/>
      </c>
      <c r="G1908" s="1"/>
      <c r="L1908" s="39" t="str">
        <f t="shared" si="118"/>
        <v/>
      </c>
      <c r="T1908" s="39" t="str">
        <f t="shared" si="119"/>
        <v/>
      </c>
    </row>
    <row r="1909" spans="4:20" x14ac:dyDescent="0.25">
      <c r="D1909" s="38" t="str">
        <f t="shared" si="116"/>
        <v/>
      </c>
      <c r="E1909" s="38" t="str">
        <f t="shared" si="117"/>
        <v/>
      </c>
      <c r="G1909" s="1"/>
      <c r="L1909" s="39" t="str">
        <f t="shared" si="118"/>
        <v/>
      </c>
      <c r="T1909" s="39" t="str">
        <f t="shared" si="119"/>
        <v/>
      </c>
    </row>
    <row r="1910" spans="4:20" x14ac:dyDescent="0.25">
      <c r="D1910" s="38" t="str">
        <f t="shared" si="116"/>
        <v/>
      </c>
      <c r="E1910" s="38" t="str">
        <f t="shared" si="117"/>
        <v/>
      </c>
      <c r="G1910" s="1"/>
      <c r="L1910" s="39" t="str">
        <f t="shared" si="118"/>
        <v/>
      </c>
      <c r="T1910" s="39" t="str">
        <f t="shared" si="119"/>
        <v/>
      </c>
    </row>
    <row r="1911" spans="4:20" x14ac:dyDescent="0.25">
      <c r="D1911" s="38" t="str">
        <f t="shared" si="116"/>
        <v/>
      </c>
      <c r="E1911" s="38" t="str">
        <f t="shared" si="117"/>
        <v/>
      </c>
      <c r="G1911" s="1"/>
      <c r="L1911" s="39" t="str">
        <f t="shared" si="118"/>
        <v/>
      </c>
      <c r="T1911" s="39" t="str">
        <f t="shared" si="119"/>
        <v/>
      </c>
    </row>
    <row r="1912" spans="4:20" x14ac:dyDescent="0.25">
      <c r="D1912" s="38" t="str">
        <f t="shared" si="116"/>
        <v/>
      </c>
      <c r="E1912" s="38" t="str">
        <f t="shared" si="117"/>
        <v/>
      </c>
      <c r="G1912" s="1"/>
      <c r="L1912" s="39" t="str">
        <f t="shared" si="118"/>
        <v/>
      </c>
      <c r="T1912" s="39" t="str">
        <f t="shared" si="119"/>
        <v/>
      </c>
    </row>
    <row r="1913" spans="4:20" x14ac:dyDescent="0.25">
      <c r="D1913" s="38" t="str">
        <f t="shared" si="116"/>
        <v/>
      </c>
      <c r="E1913" s="38" t="str">
        <f t="shared" si="117"/>
        <v/>
      </c>
      <c r="G1913" s="1"/>
      <c r="L1913" s="39" t="str">
        <f t="shared" si="118"/>
        <v/>
      </c>
      <c r="T1913" s="39" t="str">
        <f t="shared" si="119"/>
        <v/>
      </c>
    </row>
    <row r="1914" spans="4:20" x14ac:dyDescent="0.25">
      <c r="D1914" s="38" t="str">
        <f t="shared" si="116"/>
        <v/>
      </c>
      <c r="E1914" s="38" t="str">
        <f t="shared" si="117"/>
        <v/>
      </c>
      <c r="G1914" s="1"/>
      <c r="L1914" s="39" t="str">
        <f t="shared" si="118"/>
        <v/>
      </c>
      <c r="T1914" s="39" t="str">
        <f t="shared" si="119"/>
        <v/>
      </c>
    </row>
    <row r="1915" spans="4:20" x14ac:dyDescent="0.25">
      <c r="D1915" s="38" t="str">
        <f t="shared" si="116"/>
        <v/>
      </c>
      <c r="E1915" s="38" t="str">
        <f t="shared" si="117"/>
        <v/>
      </c>
      <c r="G1915" s="1"/>
      <c r="L1915" s="39" t="str">
        <f t="shared" si="118"/>
        <v/>
      </c>
      <c r="T1915" s="39" t="str">
        <f t="shared" si="119"/>
        <v/>
      </c>
    </row>
    <row r="1916" spans="4:20" x14ac:dyDescent="0.25">
      <c r="D1916" s="38" t="str">
        <f t="shared" si="116"/>
        <v/>
      </c>
      <c r="E1916" s="38" t="str">
        <f t="shared" si="117"/>
        <v/>
      </c>
      <c r="G1916" s="1"/>
      <c r="L1916" s="39" t="str">
        <f t="shared" si="118"/>
        <v/>
      </c>
      <c r="T1916" s="39" t="str">
        <f t="shared" si="119"/>
        <v/>
      </c>
    </row>
    <row r="1917" spans="4:20" x14ac:dyDescent="0.25">
      <c r="D1917" s="38" t="str">
        <f t="shared" si="116"/>
        <v/>
      </c>
      <c r="E1917" s="38" t="str">
        <f t="shared" si="117"/>
        <v/>
      </c>
      <c r="G1917" s="1"/>
      <c r="L1917" s="39" t="str">
        <f t="shared" si="118"/>
        <v/>
      </c>
      <c r="T1917" s="39" t="str">
        <f t="shared" si="119"/>
        <v/>
      </c>
    </row>
    <row r="1918" spans="4:20" x14ac:dyDescent="0.25">
      <c r="D1918" s="38" t="str">
        <f t="shared" si="116"/>
        <v/>
      </c>
      <c r="E1918" s="38" t="str">
        <f t="shared" si="117"/>
        <v/>
      </c>
      <c r="G1918" s="1"/>
      <c r="L1918" s="39" t="str">
        <f t="shared" si="118"/>
        <v/>
      </c>
      <c r="T1918" s="39" t="str">
        <f t="shared" si="119"/>
        <v/>
      </c>
    </row>
    <row r="1919" spans="4:20" x14ac:dyDescent="0.25">
      <c r="D1919" s="38" t="str">
        <f t="shared" si="116"/>
        <v/>
      </c>
      <c r="E1919" s="38" t="str">
        <f t="shared" si="117"/>
        <v/>
      </c>
      <c r="G1919" s="1"/>
      <c r="L1919" s="39" t="str">
        <f t="shared" si="118"/>
        <v/>
      </c>
      <c r="T1919" s="39" t="str">
        <f t="shared" si="119"/>
        <v/>
      </c>
    </row>
    <row r="1920" spans="4:20" x14ac:dyDescent="0.25">
      <c r="D1920" s="38" t="str">
        <f t="shared" si="116"/>
        <v/>
      </c>
      <c r="E1920" s="38" t="str">
        <f t="shared" si="117"/>
        <v/>
      </c>
      <c r="G1920" s="1"/>
      <c r="L1920" s="39" t="str">
        <f t="shared" si="118"/>
        <v/>
      </c>
      <c r="T1920" s="39" t="str">
        <f t="shared" si="119"/>
        <v/>
      </c>
    </row>
    <row r="1921" spans="4:20" x14ac:dyDescent="0.25">
      <c r="D1921" s="38" t="str">
        <f t="shared" si="116"/>
        <v/>
      </c>
      <c r="E1921" s="38" t="str">
        <f t="shared" si="117"/>
        <v/>
      </c>
      <c r="G1921" s="1"/>
      <c r="L1921" s="39" t="str">
        <f t="shared" si="118"/>
        <v/>
      </c>
      <c r="T1921" s="39" t="str">
        <f t="shared" si="119"/>
        <v/>
      </c>
    </row>
    <row r="1922" spans="4:20" x14ac:dyDescent="0.25">
      <c r="D1922" s="38" t="str">
        <f t="shared" ref="D1922:D1985" si="120">IF($B1922="", "", CHOOSE(MONTH($B1922), "Gennaio","Febbraio","Marzo","Aprile","Maggio","Giugno","Luglio","Agosto","Settembre","Ottobre","Novembre","Dicembre"))</f>
        <v/>
      </c>
      <c r="E1922" s="38" t="str">
        <f t="shared" ref="E1922:E1985" si="121">IF($B1922="", "", CHOOSE(WEEKDAY($B1922,2), "Lunedì","Martedì","Mercoledì","Giovedì","Venerdì","Sabato","Domenica"))</f>
        <v/>
      </c>
      <c r="G1922" s="1"/>
      <c r="L1922" s="39" t="str">
        <f t="shared" ref="L1922:L1985" si="122">IF($K1922="Target", $G1922*$H1922, IF($K1922="Stop Loss", -$G1922, IF($K1922="Breakeven", 0, "")))</f>
        <v/>
      </c>
      <c r="T1922" s="39" t="str">
        <f t="shared" si="119"/>
        <v/>
      </c>
    </row>
    <row r="1923" spans="4:20" x14ac:dyDescent="0.25">
      <c r="D1923" s="38" t="str">
        <f t="shared" si="120"/>
        <v/>
      </c>
      <c r="E1923" s="38" t="str">
        <f t="shared" si="121"/>
        <v/>
      </c>
      <c r="G1923" s="1"/>
      <c r="L1923" s="39" t="str">
        <f t="shared" si="122"/>
        <v/>
      </c>
      <c r="T1923" s="39" t="str">
        <f t="shared" ref="T1923:T1986" si="123">IF($L1923="", "", $T1922 + $L1923)</f>
        <v/>
      </c>
    </row>
    <row r="1924" spans="4:20" x14ac:dyDescent="0.25">
      <c r="D1924" s="38" t="str">
        <f t="shared" si="120"/>
        <v/>
      </c>
      <c r="E1924" s="38" t="str">
        <f t="shared" si="121"/>
        <v/>
      </c>
      <c r="G1924" s="1"/>
      <c r="L1924" s="39" t="str">
        <f t="shared" si="122"/>
        <v/>
      </c>
      <c r="T1924" s="39" t="str">
        <f t="shared" si="123"/>
        <v/>
      </c>
    </row>
    <row r="1925" spans="4:20" x14ac:dyDescent="0.25">
      <c r="D1925" s="38" t="str">
        <f t="shared" si="120"/>
        <v/>
      </c>
      <c r="E1925" s="38" t="str">
        <f t="shared" si="121"/>
        <v/>
      </c>
      <c r="G1925" s="1"/>
      <c r="L1925" s="39" t="str">
        <f t="shared" si="122"/>
        <v/>
      </c>
      <c r="T1925" s="39" t="str">
        <f t="shared" si="123"/>
        <v/>
      </c>
    </row>
    <row r="1926" spans="4:20" x14ac:dyDescent="0.25">
      <c r="D1926" s="38" t="str">
        <f t="shared" si="120"/>
        <v/>
      </c>
      <c r="E1926" s="38" t="str">
        <f t="shared" si="121"/>
        <v/>
      </c>
      <c r="G1926" s="1"/>
      <c r="L1926" s="39" t="str">
        <f t="shared" si="122"/>
        <v/>
      </c>
      <c r="T1926" s="39" t="str">
        <f t="shared" si="123"/>
        <v/>
      </c>
    </row>
    <row r="1927" spans="4:20" x14ac:dyDescent="0.25">
      <c r="D1927" s="38" t="str">
        <f t="shared" si="120"/>
        <v/>
      </c>
      <c r="E1927" s="38" t="str">
        <f t="shared" si="121"/>
        <v/>
      </c>
      <c r="G1927" s="1"/>
      <c r="L1927" s="39" t="str">
        <f t="shared" si="122"/>
        <v/>
      </c>
      <c r="T1927" s="39" t="str">
        <f t="shared" si="123"/>
        <v/>
      </c>
    </row>
    <row r="1928" spans="4:20" x14ac:dyDescent="0.25">
      <c r="D1928" s="38" t="str">
        <f t="shared" si="120"/>
        <v/>
      </c>
      <c r="E1928" s="38" t="str">
        <f t="shared" si="121"/>
        <v/>
      </c>
      <c r="G1928" s="1"/>
      <c r="L1928" s="39" t="str">
        <f t="shared" si="122"/>
        <v/>
      </c>
      <c r="T1928" s="39" t="str">
        <f t="shared" si="123"/>
        <v/>
      </c>
    </row>
    <row r="1929" spans="4:20" x14ac:dyDescent="0.25">
      <c r="D1929" s="38" t="str">
        <f t="shared" si="120"/>
        <v/>
      </c>
      <c r="E1929" s="38" t="str">
        <f t="shared" si="121"/>
        <v/>
      </c>
      <c r="G1929" s="1"/>
      <c r="L1929" s="39" t="str">
        <f t="shared" si="122"/>
        <v/>
      </c>
      <c r="T1929" s="39" t="str">
        <f t="shared" si="123"/>
        <v/>
      </c>
    </row>
    <row r="1930" spans="4:20" x14ac:dyDescent="0.25">
      <c r="D1930" s="38" t="str">
        <f t="shared" si="120"/>
        <v/>
      </c>
      <c r="E1930" s="38" t="str">
        <f t="shared" si="121"/>
        <v/>
      </c>
      <c r="G1930" s="1"/>
      <c r="L1930" s="39" t="str">
        <f t="shared" si="122"/>
        <v/>
      </c>
      <c r="T1930" s="39" t="str">
        <f t="shared" si="123"/>
        <v/>
      </c>
    </row>
    <row r="1931" spans="4:20" x14ac:dyDescent="0.25">
      <c r="D1931" s="38" t="str">
        <f t="shared" si="120"/>
        <v/>
      </c>
      <c r="E1931" s="38" t="str">
        <f t="shared" si="121"/>
        <v/>
      </c>
      <c r="G1931" s="1"/>
      <c r="L1931" s="39" t="str">
        <f t="shared" si="122"/>
        <v/>
      </c>
      <c r="T1931" s="39" t="str">
        <f t="shared" si="123"/>
        <v/>
      </c>
    </row>
    <row r="1932" spans="4:20" x14ac:dyDescent="0.25">
      <c r="D1932" s="38" t="str">
        <f t="shared" si="120"/>
        <v/>
      </c>
      <c r="E1932" s="38" t="str">
        <f t="shared" si="121"/>
        <v/>
      </c>
      <c r="G1932" s="1"/>
      <c r="L1932" s="39" t="str">
        <f t="shared" si="122"/>
        <v/>
      </c>
      <c r="T1932" s="39" t="str">
        <f t="shared" si="123"/>
        <v/>
      </c>
    </row>
    <row r="1933" spans="4:20" x14ac:dyDescent="0.25">
      <c r="D1933" s="38" t="str">
        <f t="shared" si="120"/>
        <v/>
      </c>
      <c r="E1933" s="38" t="str">
        <f t="shared" si="121"/>
        <v/>
      </c>
      <c r="G1933" s="1"/>
      <c r="L1933" s="39" t="str">
        <f t="shared" si="122"/>
        <v/>
      </c>
      <c r="T1933" s="39" t="str">
        <f t="shared" si="123"/>
        <v/>
      </c>
    </row>
    <row r="1934" spans="4:20" x14ac:dyDescent="0.25">
      <c r="D1934" s="38" t="str">
        <f t="shared" si="120"/>
        <v/>
      </c>
      <c r="E1934" s="38" t="str">
        <f t="shared" si="121"/>
        <v/>
      </c>
      <c r="G1934" s="1"/>
      <c r="L1934" s="39" t="str">
        <f t="shared" si="122"/>
        <v/>
      </c>
      <c r="T1934" s="39" t="str">
        <f t="shared" si="123"/>
        <v/>
      </c>
    </row>
    <row r="1935" spans="4:20" x14ac:dyDescent="0.25">
      <c r="D1935" s="38" t="str">
        <f t="shared" si="120"/>
        <v/>
      </c>
      <c r="E1935" s="38" t="str">
        <f t="shared" si="121"/>
        <v/>
      </c>
      <c r="G1935" s="1"/>
      <c r="L1935" s="39" t="str">
        <f t="shared" si="122"/>
        <v/>
      </c>
      <c r="T1935" s="39" t="str">
        <f t="shared" si="123"/>
        <v/>
      </c>
    </row>
    <row r="1936" spans="4:20" x14ac:dyDescent="0.25">
      <c r="D1936" s="38" t="str">
        <f t="shared" si="120"/>
        <v/>
      </c>
      <c r="E1936" s="38" t="str">
        <f t="shared" si="121"/>
        <v/>
      </c>
      <c r="G1936" s="1"/>
      <c r="L1936" s="39" t="str">
        <f t="shared" si="122"/>
        <v/>
      </c>
      <c r="T1936" s="39" t="str">
        <f t="shared" si="123"/>
        <v/>
      </c>
    </row>
    <row r="1937" spans="4:20" x14ac:dyDescent="0.25">
      <c r="D1937" s="38" t="str">
        <f t="shared" si="120"/>
        <v/>
      </c>
      <c r="E1937" s="38" t="str">
        <f t="shared" si="121"/>
        <v/>
      </c>
      <c r="G1937" s="1"/>
      <c r="L1937" s="39" t="str">
        <f t="shared" si="122"/>
        <v/>
      </c>
      <c r="T1937" s="39" t="str">
        <f t="shared" si="123"/>
        <v/>
      </c>
    </row>
    <row r="1938" spans="4:20" x14ac:dyDescent="0.25">
      <c r="D1938" s="38" t="str">
        <f t="shared" si="120"/>
        <v/>
      </c>
      <c r="E1938" s="38" t="str">
        <f t="shared" si="121"/>
        <v/>
      </c>
      <c r="G1938" s="1"/>
      <c r="L1938" s="39" t="str">
        <f t="shared" si="122"/>
        <v/>
      </c>
      <c r="T1938" s="39" t="str">
        <f t="shared" si="123"/>
        <v/>
      </c>
    </row>
    <row r="1939" spans="4:20" x14ac:dyDescent="0.25">
      <c r="D1939" s="38" t="str">
        <f t="shared" si="120"/>
        <v/>
      </c>
      <c r="E1939" s="38" t="str">
        <f t="shared" si="121"/>
        <v/>
      </c>
      <c r="G1939" s="1"/>
      <c r="L1939" s="39" t="str">
        <f t="shared" si="122"/>
        <v/>
      </c>
      <c r="T1939" s="39" t="str">
        <f t="shared" si="123"/>
        <v/>
      </c>
    </row>
    <row r="1940" spans="4:20" x14ac:dyDescent="0.25">
      <c r="D1940" s="38" t="str">
        <f t="shared" si="120"/>
        <v/>
      </c>
      <c r="E1940" s="38" t="str">
        <f t="shared" si="121"/>
        <v/>
      </c>
      <c r="G1940" s="1"/>
      <c r="L1940" s="39" t="str">
        <f t="shared" si="122"/>
        <v/>
      </c>
      <c r="T1940" s="39" t="str">
        <f t="shared" si="123"/>
        <v/>
      </c>
    </row>
    <row r="1941" spans="4:20" x14ac:dyDescent="0.25">
      <c r="D1941" s="38" t="str">
        <f t="shared" si="120"/>
        <v/>
      </c>
      <c r="E1941" s="38" t="str">
        <f t="shared" si="121"/>
        <v/>
      </c>
      <c r="G1941" s="1"/>
      <c r="L1941" s="39" t="str">
        <f t="shared" si="122"/>
        <v/>
      </c>
      <c r="T1941" s="39" t="str">
        <f t="shared" si="123"/>
        <v/>
      </c>
    </row>
    <row r="1942" spans="4:20" x14ac:dyDescent="0.25">
      <c r="D1942" s="38" t="str">
        <f t="shared" si="120"/>
        <v/>
      </c>
      <c r="E1942" s="38" t="str">
        <f t="shared" si="121"/>
        <v/>
      </c>
      <c r="G1942" s="1"/>
      <c r="L1942" s="39" t="str">
        <f t="shared" si="122"/>
        <v/>
      </c>
      <c r="T1942" s="39" t="str">
        <f t="shared" si="123"/>
        <v/>
      </c>
    </row>
    <row r="1943" spans="4:20" x14ac:dyDescent="0.25">
      <c r="D1943" s="38" t="str">
        <f t="shared" si="120"/>
        <v/>
      </c>
      <c r="E1943" s="38" t="str">
        <f t="shared" si="121"/>
        <v/>
      </c>
      <c r="G1943" s="1"/>
      <c r="L1943" s="39" t="str">
        <f t="shared" si="122"/>
        <v/>
      </c>
      <c r="T1943" s="39" t="str">
        <f t="shared" si="123"/>
        <v/>
      </c>
    </row>
    <row r="1944" spans="4:20" x14ac:dyDescent="0.25">
      <c r="D1944" s="38" t="str">
        <f t="shared" si="120"/>
        <v/>
      </c>
      <c r="E1944" s="38" t="str">
        <f t="shared" si="121"/>
        <v/>
      </c>
      <c r="G1944" s="1"/>
      <c r="L1944" s="39" t="str">
        <f t="shared" si="122"/>
        <v/>
      </c>
      <c r="T1944" s="39" t="str">
        <f t="shared" si="123"/>
        <v/>
      </c>
    </row>
    <row r="1945" spans="4:20" x14ac:dyDescent="0.25">
      <c r="D1945" s="38" t="str">
        <f t="shared" si="120"/>
        <v/>
      </c>
      <c r="E1945" s="38" t="str">
        <f t="shared" si="121"/>
        <v/>
      </c>
      <c r="G1945" s="1"/>
      <c r="L1945" s="39" t="str">
        <f t="shared" si="122"/>
        <v/>
      </c>
      <c r="T1945" s="39" t="str">
        <f t="shared" si="123"/>
        <v/>
      </c>
    </row>
    <row r="1946" spans="4:20" x14ac:dyDescent="0.25">
      <c r="D1946" s="38" t="str">
        <f t="shared" si="120"/>
        <v/>
      </c>
      <c r="E1946" s="38" t="str">
        <f t="shared" si="121"/>
        <v/>
      </c>
      <c r="G1946" s="1"/>
      <c r="L1946" s="39" t="str">
        <f t="shared" si="122"/>
        <v/>
      </c>
      <c r="T1946" s="39" t="str">
        <f t="shared" si="123"/>
        <v/>
      </c>
    </row>
    <row r="1947" spans="4:20" x14ac:dyDescent="0.25">
      <c r="D1947" s="38" t="str">
        <f t="shared" si="120"/>
        <v/>
      </c>
      <c r="E1947" s="38" t="str">
        <f t="shared" si="121"/>
        <v/>
      </c>
      <c r="G1947" s="1"/>
      <c r="L1947" s="39" t="str">
        <f t="shared" si="122"/>
        <v/>
      </c>
      <c r="T1947" s="39" t="str">
        <f t="shared" si="123"/>
        <v/>
      </c>
    </row>
    <row r="1948" spans="4:20" x14ac:dyDescent="0.25">
      <c r="D1948" s="38" t="str">
        <f t="shared" si="120"/>
        <v/>
      </c>
      <c r="E1948" s="38" t="str">
        <f t="shared" si="121"/>
        <v/>
      </c>
      <c r="G1948" s="1"/>
      <c r="L1948" s="39" t="str">
        <f t="shared" si="122"/>
        <v/>
      </c>
      <c r="T1948" s="39" t="str">
        <f t="shared" si="123"/>
        <v/>
      </c>
    </row>
    <row r="1949" spans="4:20" x14ac:dyDescent="0.25">
      <c r="D1949" s="38" t="str">
        <f t="shared" si="120"/>
        <v/>
      </c>
      <c r="E1949" s="38" t="str">
        <f t="shared" si="121"/>
        <v/>
      </c>
      <c r="G1949" s="1"/>
      <c r="L1949" s="39" t="str">
        <f t="shared" si="122"/>
        <v/>
      </c>
      <c r="T1949" s="39" t="str">
        <f t="shared" si="123"/>
        <v/>
      </c>
    </row>
    <row r="1950" spans="4:20" x14ac:dyDescent="0.25">
      <c r="D1950" s="38" t="str">
        <f t="shared" si="120"/>
        <v/>
      </c>
      <c r="E1950" s="38" t="str">
        <f t="shared" si="121"/>
        <v/>
      </c>
      <c r="G1950" s="1"/>
      <c r="L1950" s="39" t="str">
        <f t="shared" si="122"/>
        <v/>
      </c>
      <c r="T1950" s="39" t="str">
        <f t="shared" si="123"/>
        <v/>
      </c>
    </row>
    <row r="1951" spans="4:20" x14ac:dyDescent="0.25">
      <c r="D1951" s="38" t="str">
        <f t="shared" si="120"/>
        <v/>
      </c>
      <c r="E1951" s="38" t="str">
        <f t="shared" si="121"/>
        <v/>
      </c>
      <c r="G1951" s="1"/>
      <c r="L1951" s="39" t="str">
        <f t="shared" si="122"/>
        <v/>
      </c>
      <c r="T1951" s="39" t="str">
        <f t="shared" si="123"/>
        <v/>
      </c>
    </row>
    <row r="1952" spans="4:20" x14ac:dyDescent="0.25">
      <c r="D1952" s="38" t="str">
        <f t="shared" si="120"/>
        <v/>
      </c>
      <c r="E1952" s="38" t="str">
        <f t="shared" si="121"/>
        <v/>
      </c>
      <c r="G1952" s="1"/>
      <c r="L1952" s="39" t="str">
        <f t="shared" si="122"/>
        <v/>
      </c>
      <c r="T1952" s="39" t="str">
        <f t="shared" si="123"/>
        <v/>
      </c>
    </row>
    <row r="1953" spans="4:20" x14ac:dyDescent="0.25">
      <c r="D1953" s="38" t="str">
        <f t="shared" si="120"/>
        <v/>
      </c>
      <c r="E1953" s="38" t="str">
        <f t="shared" si="121"/>
        <v/>
      </c>
      <c r="G1953" s="1"/>
      <c r="L1953" s="39" t="str">
        <f t="shared" si="122"/>
        <v/>
      </c>
      <c r="T1953" s="39" t="str">
        <f t="shared" si="123"/>
        <v/>
      </c>
    </row>
    <row r="1954" spans="4:20" x14ac:dyDescent="0.25">
      <c r="D1954" s="38" t="str">
        <f t="shared" si="120"/>
        <v/>
      </c>
      <c r="E1954" s="38" t="str">
        <f t="shared" si="121"/>
        <v/>
      </c>
      <c r="G1954" s="1"/>
      <c r="L1954" s="39" t="str">
        <f t="shared" si="122"/>
        <v/>
      </c>
      <c r="T1954" s="39" t="str">
        <f t="shared" si="123"/>
        <v/>
      </c>
    </row>
    <row r="1955" spans="4:20" x14ac:dyDescent="0.25">
      <c r="D1955" s="38" t="str">
        <f t="shared" si="120"/>
        <v/>
      </c>
      <c r="E1955" s="38" t="str">
        <f t="shared" si="121"/>
        <v/>
      </c>
      <c r="G1955" s="1"/>
      <c r="L1955" s="39" t="str">
        <f t="shared" si="122"/>
        <v/>
      </c>
      <c r="T1955" s="39" t="str">
        <f t="shared" si="123"/>
        <v/>
      </c>
    </row>
    <row r="1956" spans="4:20" x14ac:dyDescent="0.25">
      <c r="D1956" s="38" t="str">
        <f t="shared" si="120"/>
        <v/>
      </c>
      <c r="E1956" s="38" t="str">
        <f t="shared" si="121"/>
        <v/>
      </c>
      <c r="G1956" s="1"/>
      <c r="L1956" s="39" t="str">
        <f t="shared" si="122"/>
        <v/>
      </c>
      <c r="T1956" s="39" t="str">
        <f t="shared" si="123"/>
        <v/>
      </c>
    </row>
    <row r="1957" spans="4:20" x14ac:dyDescent="0.25">
      <c r="D1957" s="38" t="str">
        <f t="shared" si="120"/>
        <v/>
      </c>
      <c r="E1957" s="38" t="str">
        <f t="shared" si="121"/>
        <v/>
      </c>
      <c r="G1957" s="1"/>
      <c r="L1957" s="39" t="str">
        <f t="shared" si="122"/>
        <v/>
      </c>
      <c r="T1957" s="39" t="str">
        <f t="shared" si="123"/>
        <v/>
      </c>
    </row>
    <row r="1958" spans="4:20" x14ac:dyDescent="0.25">
      <c r="D1958" s="38" t="str">
        <f t="shared" si="120"/>
        <v/>
      </c>
      <c r="E1958" s="38" t="str">
        <f t="shared" si="121"/>
        <v/>
      </c>
      <c r="G1958" s="1"/>
      <c r="L1958" s="39" t="str">
        <f t="shared" si="122"/>
        <v/>
      </c>
      <c r="T1958" s="39" t="str">
        <f t="shared" si="123"/>
        <v/>
      </c>
    </row>
    <row r="1959" spans="4:20" x14ac:dyDescent="0.25">
      <c r="D1959" s="38" t="str">
        <f t="shared" si="120"/>
        <v/>
      </c>
      <c r="E1959" s="38" t="str">
        <f t="shared" si="121"/>
        <v/>
      </c>
      <c r="G1959" s="1"/>
      <c r="L1959" s="39" t="str">
        <f t="shared" si="122"/>
        <v/>
      </c>
      <c r="T1959" s="39" t="str">
        <f t="shared" si="123"/>
        <v/>
      </c>
    </row>
    <row r="1960" spans="4:20" x14ac:dyDescent="0.25">
      <c r="D1960" s="38" t="str">
        <f t="shared" si="120"/>
        <v/>
      </c>
      <c r="E1960" s="38" t="str">
        <f t="shared" si="121"/>
        <v/>
      </c>
      <c r="G1960" s="1"/>
      <c r="L1960" s="39" t="str">
        <f t="shared" si="122"/>
        <v/>
      </c>
      <c r="T1960" s="39" t="str">
        <f t="shared" si="123"/>
        <v/>
      </c>
    </row>
    <row r="1961" spans="4:20" x14ac:dyDescent="0.25">
      <c r="D1961" s="38" t="str">
        <f t="shared" si="120"/>
        <v/>
      </c>
      <c r="E1961" s="38" t="str">
        <f t="shared" si="121"/>
        <v/>
      </c>
      <c r="G1961" s="1"/>
      <c r="L1961" s="39" t="str">
        <f t="shared" si="122"/>
        <v/>
      </c>
      <c r="T1961" s="39" t="str">
        <f t="shared" si="123"/>
        <v/>
      </c>
    </row>
    <row r="1962" spans="4:20" x14ac:dyDescent="0.25">
      <c r="D1962" s="38" t="str">
        <f t="shared" si="120"/>
        <v/>
      </c>
      <c r="E1962" s="38" t="str">
        <f t="shared" si="121"/>
        <v/>
      </c>
      <c r="G1962" s="1"/>
      <c r="L1962" s="39" t="str">
        <f t="shared" si="122"/>
        <v/>
      </c>
      <c r="T1962" s="39" t="str">
        <f t="shared" si="123"/>
        <v/>
      </c>
    </row>
    <row r="1963" spans="4:20" x14ac:dyDescent="0.25">
      <c r="D1963" s="38" t="str">
        <f t="shared" si="120"/>
        <v/>
      </c>
      <c r="E1963" s="38" t="str">
        <f t="shared" si="121"/>
        <v/>
      </c>
      <c r="G1963" s="1"/>
      <c r="L1963" s="39" t="str">
        <f t="shared" si="122"/>
        <v/>
      </c>
      <c r="T1963" s="39" t="str">
        <f t="shared" si="123"/>
        <v/>
      </c>
    </row>
    <row r="1964" spans="4:20" x14ac:dyDescent="0.25">
      <c r="D1964" s="38" t="str">
        <f t="shared" si="120"/>
        <v/>
      </c>
      <c r="E1964" s="38" t="str">
        <f t="shared" si="121"/>
        <v/>
      </c>
      <c r="G1964" s="1"/>
      <c r="L1964" s="39" t="str">
        <f t="shared" si="122"/>
        <v/>
      </c>
      <c r="T1964" s="39" t="str">
        <f t="shared" si="123"/>
        <v/>
      </c>
    </row>
    <row r="1965" spans="4:20" x14ac:dyDescent="0.25">
      <c r="D1965" s="38" t="str">
        <f t="shared" si="120"/>
        <v/>
      </c>
      <c r="E1965" s="38" t="str">
        <f t="shared" si="121"/>
        <v/>
      </c>
      <c r="G1965" s="1"/>
      <c r="L1965" s="39" t="str">
        <f t="shared" si="122"/>
        <v/>
      </c>
      <c r="T1965" s="39" t="str">
        <f t="shared" si="123"/>
        <v/>
      </c>
    </row>
    <row r="1966" spans="4:20" x14ac:dyDescent="0.25">
      <c r="D1966" s="38" t="str">
        <f t="shared" si="120"/>
        <v/>
      </c>
      <c r="E1966" s="38" t="str">
        <f t="shared" si="121"/>
        <v/>
      </c>
      <c r="G1966" s="1"/>
      <c r="L1966" s="39" t="str">
        <f t="shared" si="122"/>
        <v/>
      </c>
      <c r="T1966" s="39" t="str">
        <f t="shared" si="123"/>
        <v/>
      </c>
    </row>
    <row r="1967" spans="4:20" x14ac:dyDescent="0.25">
      <c r="D1967" s="38" t="str">
        <f t="shared" si="120"/>
        <v/>
      </c>
      <c r="E1967" s="38" t="str">
        <f t="shared" si="121"/>
        <v/>
      </c>
      <c r="G1967" s="1"/>
      <c r="L1967" s="39" t="str">
        <f t="shared" si="122"/>
        <v/>
      </c>
      <c r="T1967" s="39" t="str">
        <f t="shared" si="123"/>
        <v/>
      </c>
    </row>
    <row r="1968" spans="4:20" x14ac:dyDescent="0.25">
      <c r="D1968" s="38" t="str">
        <f t="shared" si="120"/>
        <v/>
      </c>
      <c r="E1968" s="38" t="str">
        <f t="shared" si="121"/>
        <v/>
      </c>
      <c r="G1968" s="1"/>
      <c r="L1968" s="39" t="str">
        <f t="shared" si="122"/>
        <v/>
      </c>
      <c r="T1968" s="39" t="str">
        <f t="shared" si="123"/>
        <v/>
      </c>
    </row>
    <row r="1969" spans="4:20" x14ac:dyDescent="0.25">
      <c r="D1969" s="38" t="str">
        <f t="shared" si="120"/>
        <v/>
      </c>
      <c r="E1969" s="38" t="str">
        <f t="shared" si="121"/>
        <v/>
      </c>
      <c r="G1969" s="1"/>
      <c r="L1969" s="39" t="str">
        <f t="shared" si="122"/>
        <v/>
      </c>
      <c r="T1969" s="39" t="str">
        <f t="shared" si="123"/>
        <v/>
      </c>
    </row>
    <row r="1970" spans="4:20" x14ac:dyDescent="0.25">
      <c r="D1970" s="38" t="str">
        <f t="shared" si="120"/>
        <v/>
      </c>
      <c r="E1970" s="38" t="str">
        <f t="shared" si="121"/>
        <v/>
      </c>
      <c r="G1970" s="1"/>
      <c r="L1970" s="39" t="str">
        <f t="shared" si="122"/>
        <v/>
      </c>
      <c r="T1970" s="39" t="str">
        <f t="shared" si="123"/>
        <v/>
      </c>
    </row>
    <row r="1971" spans="4:20" x14ac:dyDescent="0.25">
      <c r="D1971" s="38" t="str">
        <f t="shared" si="120"/>
        <v/>
      </c>
      <c r="E1971" s="38" t="str">
        <f t="shared" si="121"/>
        <v/>
      </c>
      <c r="G1971" s="1"/>
      <c r="L1971" s="39" t="str">
        <f t="shared" si="122"/>
        <v/>
      </c>
      <c r="T1971" s="39" t="str">
        <f t="shared" si="123"/>
        <v/>
      </c>
    </row>
    <row r="1972" spans="4:20" x14ac:dyDescent="0.25">
      <c r="D1972" s="38" t="str">
        <f t="shared" si="120"/>
        <v/>
      </c>
      <c r="E1972" s="38" t="str">
        <f t="shared" si="121"/>
        <v/>
      </c>
      <c r="G1972" s="1"/>
      <c r="L1972" s="39" t="str">
        <f t="shared" si="122"/>
        <v/>
      </c>
      <c r="T1972" s="39" t="str">
        <f t="shared" si="123"/>
        <v/>
      </c>
    </row>
    <row r="1973" spans="4:20" x14ac:dyDescent="0.25">
      <c r="D1973" s="38" t="str">
        <f t="shared" si="120"/>
        <v/>
      </c>
      <c r="E1973" s="38" t="str">
        <f t="shared" si="121"/>
        <v/>
      </c>
      <c r="G1973" s="1"/>
      <c r="L1973" s="39" t="str">
        <f t="shared" si="122"/>
        <v/>
      </c>
      <c r="T1973" s="39" t="str">
        <f t="shared" si="123"/>
        <v/>
      </c>
    </row>
    <row r="1974" spans="4:20" x14ac:dyDescent="0.25">
      <c r="D1974" s="38" t="str">
        <f t="shared" si="120"/>
        <v/>
      </c>
      <c r="E1974" s="38" t="str">
        <f t="shared" si="121"/>
        <v/>
      </c>
      <c r="G1974" s="1"/>
      <c r="L1974" s="39" t="str">
        <f t="shared" si="122"/>
        <v/>
      </c>
      <c r="T1974" s="39" t="str">
        <f t="shared" si="123"/>
        <v/>
      </c>
    </row>
    <row r="1975" spans="4:20" x14ac:dyDescent="0.25">
      <c r="D1975" s="38" t="str">
        <f t="shared" si="120"/>
        <v/>
      </c>
      <c r="E1975" s="38" t="str">
        <f t="shared" si="121"/>
        <v/>
      </c>
      <c r="G1975" s="1"/>
      <c r="L1975" s="39" t="str">
        <f t="shared" si="122"/>
        <v/>
      </c>
      <c r="T1975" s="39" t="str">
        <f t="shared" si="123"/>
        <v/>
      </c>
    </row>
    <row r="1976" spans="4:20" x14ac:dyDescent="0.25">
      <c r="D1976" s="38" t="str">
        <f t="shared" si="120"/>
        <v/>
      </c>
      <c r="E1976" s="38" t="str">
        <f t="shared" si="121"/>
        <v/>
      </c>
      <c r="G1976" s="1"/>
      <c r="L1976" s="39" t="str">
        <f t="shared" si="122"/>
        <v/>
      </c>
      <c r="T1976" s="39" t="str">
        <f t="shared" si="123"/>
        <v/>
      </c>
    </row>
    <row r="1977" spans="4:20" x14ac:dyDescent="0.25">
      <c r="D1977" s="38" t="str">
        <f t="shared" si="120"/>
        <v/>
      </c>
      <c r="E1977" s="38" t="str">
        <f t="shared" si="121"/>
        <v/>
      </c>
      <c r="G1977" s="1"/>
      <c r="L1977" s="39" t="str">
        <f t="shared" si="122"/>
        <v/>
      </c>
      <c r="T1977" s="39" t="str">
        <f t="shared" si="123"/>
        <v/>
      </c>
    </row>
    <row r="1978" spans="4:20" x14ac:dyDescent="0.25">
      <c r="D1978" s="38" t="str">
        <f t="shared" si="120"/>
        <v/>
      </c>
      <c r="E1978" s="38" t="str">
        <f t="shared" si="121"/>
        <v/>
      </c>
      <c r="G1978" s="1"/>
      <c r="L1978" s="39" t="str">
        <f t="shared" si="122"/>
        <v/>
      </c>
      <c r="T1978" s="39" t="str">
        <f t="shared" si="123"/>
        <v/>
      </c>
    </row>
    <row r="1979" spans="4:20" x14ac:dyDescent="0.25">
      <c r="D1979" s="38" t="str">
        <f t="shared" si="120"/>
        <v/>
      </c>
      <c r="E1979" s="38" t="str">
        <f t="shared" si="121"/>
        <v/>
      </c>
      <c r="G1979" s="1"/>
      <c r="L1979" s="39" t="str">
        <f t="shared" si="122"/>
        <v/>
      </c>
      <c r="T1979" s="39" t="str">
        <f t="shared" si="123"/>
        <v/>
      </c>
    </row>
    <row r="1980" spans="4:20" x14ac:dyDescent="0.25">
      <c r="D1980" s="38" t="str">
        <f t="shared" si="120"/>
        <v/>
      </c>
      <c r="E1980" s="38" t="str">
        <f t="shared" si="121"/>
        <v/>
      </c>
      <c r="G1980" s="1"/>
      <c r="L1980" s="39" t="str">
        <f t="shared" si="122"/>
        <v/>
      </c>
      <c r="T1980" s="39" t="str">
        <f t="shared" si="123"/>
        <v/>
      </c>
    </row>
    <row r="1981" spans="4:20" x14ac:dyDescent="0.25">
      <c r="D1981" s="38" t="str">
        <f t="shared" si="120"/>
        <v/>
      </c>
      <c r="E1981" s="38" t="str">
        <f t="shared" si="121"/>
        <v/>
      </c>
      <c r="G1981" s="1"/>
      <c r="L1981" s="39" t="str">
        <f t="shared" si="122"/>
        <v/>
      </c>
      <c r="T1981" s="39" t="str">
        <f t="shared" si="123"/>
        <v/>
      </c>
    </row>
    <row r="1982" spans="4:20" x14ac:dyDescent="0.25">
      <c r="D1982" s="38" t="str">
        <f t="shared" si="120"/>
        <v/>
      </c>
      <c r="E1982" s="38" t="str">
        <f t="shared" si="121"/>
        <v/>
      </c>
      <c r="G1982" s="1"/>
      <c r="L1982" s="39" t="str">
        <f t="shared" si="122"/>
        <v/>
      </c>
      <c r="T1982" s="39" t="str">
        <f t="shared" si="123"/>
        <v/>
      </c>
    </row>
    <row r="1983" spans="4:20" x14ac:dyDescent="0.25">
      <c r="D1983" s="38" t="str">
        <f t="shared" si="120"/>
        <v/>
      </c>
      <c r="E1983" s="38" t="str">
        <f t="shared" si="121"/>
        <v/>
      </c>
      <c r="G1983" s="1"/>
      <c r="L1983" s="39" t="str">
        <f t="shared" si="122"/>
        <v/>
      </c>
      <c r="T1983" s="39" t="str">
        <f t="shared" si="123"/>
        <v/>
      </c>
    </row>
    <row r="1984" spans="4:20" x14ac:dyDescent="0.25">
      <c r="D1984" s="38" t="str">
        <f t="shared" si="120"/>
        <v/>
      </c>
      <c r="E1984" s="38" t="str">
        <f t="shared" si="121"/>
        <v/>
      </c>
      <c r="G1984" s="1"/>
      <c r="L1984" s="39" t="str">
        <f t="shared" si="122"/>
        <v/>
      </c>
      <c r="T1984" s="39" t="str">
        <f t="shared" si="123"/>
        <v/>
      </c>
    </row>
    <row r="1985" spans="4:20" x14ac:dyDescent="0.25">
      <c r="D1985" s="38" t="str">
        <f t="shared" si="120"/>
        <v/>
      </c>
      <c r="E1985" s="38" t="str">
        <f t="shared" si="121"/>
        <v/>
      </c>
      <c r="G1985" s="1"/>
      <c r="L1985" s="39" t="str">
        <f t="shared" si="122"/>
        <v/>
      </c>
      <c r="T1985" s="39" t="str">
        <f t="shared" si="123"/>
        <v/>
      </c>
    </row>
    <row r="1986" spans="4:20" x14ac:dyDescent="0.25">
      <c r="D1986" s="38" t="str">
        <f t="shared" ref="D1986:D2001" si="124">IF($B1986="", "", CHOOSE(MONTH($B1986), "Gennaio","Febbraio","Marzo","Aprile","Maggio","Giugno","Luglio","Agosto","Settembre","Ottobre","Novembre","Dicembre"))</f>
        <v/>
      </c>
      <c r="E1986" s="38" t="str">
        <f t="shared" ref="E1986:E2001" si="125">IF($B1986="", "", CHOOSE(WEEKDAY($B1986,2), "Lunedì","Martedì","Mercoledì","Giovedì","Venerdì","Sabato","Domenica"))</f>
        <v/>
      </c>
      <c r="G1986" s="1"/>
      <c r="L1986" s="39" t="str">
        <f t="shared" ref="L1986:L2001" si="126">IF($K1986="Target", $G1986*$H1986, IF($K1986="Stop Loss", -$G1986, IF($K1986="Breakeven", 0, "")))</f>
        <v/>
      </c>
      <c r="T1986" s="39" t="str">
        <f t="shared" si="123"/>
        <v/>
      </c>
    </row>
    <row r="1987" spans="4:20" x14ac:dyDescent="0.25">
      <c r="D1987" s="38" t="str">
        <f t="shared" si="124"/>
        <v/>
      </c>
      <c r="E1987" s="38" t="str">
        <f t="shared" si="125"/>
        <v/>
      </c>
      <c r="G1987" s="1"/>
      <c r="L1987" s="39" t="str">
        <f t="shared" si="126"/>
        <v/>
      </c>
      <c r="T1987" s="39" t="str">
        <f t="shared" ref="T1987:T2001" si="127">IF($L1987="", "", $T1986 + $L1987)</f>
        <v/>
      </c>
    </row>
    <row r="1988" spans="4:20" x14ac:dyDescent="0.25">
      <c r="D1988" s="38" t="str">
        <f t="shared" si="124"/>
        <v/>
      </c>
      <c r="E1988" s="38" t="str">
        <f t="shared" si="125"/>
        <v/>
      </c>
      <c r="G1988" s="1"/>
      <c r="L1988" s="39" t="str">
        <f t="shared" si="126"/>
        <v/>
      </c>
      <c r="T1988" s="39" t="str">
        <f t="shared" si="127"/>
        <v/>
      </c>
    </row>
    <row r="1989" spans="4:20" x14ac:dyDescent="0.25">
      <c r="D1989" s="38" t="str">
        <f t="shared" si="124"/>
        <v/>
      </c>
      <c r="E1989" s="38" t="str">
        <f t="shared" si="125"/>
        <v/>
      </c>
      <c r="G1989" s="1"/>
      <c r="L1989" s="39" t="str">
        <f t="shared" si="126"/>
        <v/>
      </c>
      <c r="T1989" s="39" t="str">
        <f t="shared" si="127"/>
        <v/>
      </c>
    </row>
    <row r="1990" spans="4:20" x14ac:dyDescent="0.25">
      <c r="D1990" s="38" t="str">
        <f t="shared" si="124"/>
        <v/>
      </c>
      <c r="E1990" s="38" t="str">
        <f t="shared" si="125"/>
        <v/>
      </c>
      <c r="G1990" s="1"/>
      <c r="L1990" s="39" t="str">
        <f t="shared" si="126"/>
        <v/>
      </c>
      <c r="T1990" s="39" t="str">
        <f t="shared" si="127"/>
        <v/>
      </c>
    </row>
    <row r="1991" spans="4:20" x14ac:dyDescent="0.25">
      <c r="D1991" s="38" t="str">
        <f t="shared" si="124"/>
        <v/>
      </c>
      <c r="E1991" s="38" t="str">
        <f t="shared" si="125"/>
        <v/>
      </c>
      <c r="G1991" s="1"/>
      <c r="L1991" s="39" t="str">
        <f t="shared" si="126"/>
        <v/>
      </c>
      <c r="T1991" s="39" t="str">
        <f t="shared" si="127"/>
        <v/>
      </c>
    </row>
    <row r="1992" spans="4:20" x14ac:dyDescent="0.25">
      <c r="D1992" s="38" t="str">
        <f t="shared" si="124"/>
        <v/>
      </c>
      <c r="E1992" s="38" t="str">
        <f t="shared" si="125"/>
        <v/>
      </c>
      <c r="G1992" s="1"/>
      <c r="L1992" s="39" t="str">
        <f t="shared" si="126"/>
        <v/>
      </c>
      <c r="T1992" s="39" t="str">
        <f t="shared" si="127"/>
        <v/>
      </c>
    </row>
    <row r="1993" spans="4:20" x14ac:dyDescent="0.25">
      <c r="D1993" s="38" t="str">
        <f t="shared" si="124"/>
        <v/>
      </c>
      <c r="E1993" s="38" t="str">
        <f t="shared" si="125"/>
        <v/>
      </c>
      <c r="G1993" s="1"/>
      <c r="L1993" s="39" t="str">
        <f t="shared" si="126"/>
        <v/>
      </c>
      <c r="T1993" s="39" t="str">
        <f t="shared" si="127"/>
        <v/>
      </c>
    </row>
    <row r="1994" spans="4:20" x14ac:dyDescent="0.25">
      <c r="D1994" s="38" t="str">
        <f t="shared" si="124"/>
        <v/>
      </c>
      <c r="E1994" s="38" t="str">
        <f t="shared" si="125"/>
        <v/>
      </c>
      <c r="G1994" s="1"/>
      <c r="L1994" s="39" t="str">
        <f t="shared" si="126"/>
        <v/>
      </c>
      <c r="T1994" s="39" t="str">
        <f t="shared" si="127"/>
        <v/>
      </c>
    </row>
    <row r="1995" spans="4:20" x14ac:dyDescent="0.25">
      <c r="D1995" s="38" t="str">
        <f t="shared" si="124"/>
        <v/>
      </c>
      <c r="E1995" s="38" t="str">
        <f t="shared" si="125"/>
        <v/>
      </c>
      <c r="G1995" s="1"/>
      <c r="L1995" s="39" t="str">
        <f t="shared" si="126"/>
        <v/>
      </c>
      <c r="T1995" s="39" t="str">
        <f t="shared" si="127"/>
        <v/>
      </c>
    </row>
    <row r="1996" spans="4:20" x14ac:dyDescent="0.25">
      <c r="D1996" s="38" t="str">
        <f t="shared" si="124"/>
        <v/>
      </c>
      <c r="E1996" s="38" t="str">
        <f t="shared" si="125"/>
        <v/>
      </c>
      <c r="G1996" s="1"/>
      <c r="L1996" s="39" t="str">
        <f t="shared" si="126"/>
        <v/>
      </c>
      <c r="T1996" s="39" t="str">
        <f t="shared" si="127"/>
        <v/>
      </c>
    </row>
    <row r="1997" spans="4:20" x14ac:dyDescent="0.25">
      <c r="D1997" s="38" t="str">
        <f t="shared" si="124"/>
        <v/>
      </c>
      <c r="E1997" s="38" t="str">
        <f t="shared" si="125"/>
        <v/>
      </c>
      <c r="G1997" s="1"/>
      <c r="L1997" s="39" t="str">
        <f t="shared" si="126"/>
        <v/>
      </c>
      <c r="T1997" s="39" t="str">
        <f t="shared" si="127"/>
        <v/>
      </c>
    </row>
    <row r="1998" spans="4:20" x14ac:dyDescent="0.25">
      <c r="D1998" s="38" t="str">
        <f t="shared" si="124"/>
        <v/>
      </c>
      <c r="E1998" s="38" t="str">
        <f t="shared" si="125"/>
        <v/>
      </c>
      <c r="G1998" s="1"/>
      <c r="L1998" s="39" t="str">
        <f t="shared" si="126"/>
        <v/>
      </c>
      <c r="T1998" s="39" t="str">
        <f t="shared" si="127"/>
        <v/>
      </c>
    </row>
    <row r="1999" spans="4:20" x14ac:dyDescent="0.25">
      <c r="D1999" s="38" t="str">
        <f t="shared" si="124"/>
        <v/>
      </c>
      <c r="E1999" s="38" t="str">
        <f t="shared" si="125"/>
        <v/>
      </c>
      <c r="G1999" s="1"/>
      <c r="L1999" s="39" t="str">
        <f t="shared" si="126"/>
        <v/>
      </c>
      <c r="T1999" s="39" t="str">
        <f t="shared" si="127"/>
        <v/>
      </c>
    </row>
    <row r="2000" spans="4:20" x14ac:dyDescent="0.25">
      <c r="D2000" s="38" t="str">
        <f t="shared" si="124"/>
        <v/>
      </c>
      <c r="E2000" s="38" t="str">
        <f t="shared" si="125"/>
        <v/>
      </c>
      <c r="G2000" s="1"/>
      <c r="L2000" s="39" t="str">
        <f t="shared" si="126"/>
        <v/>
      </c>
      <c r="T2000" s="39" t="str">
        <f t="shared" si="127"/>
        <v/>
      </c>
    </row>
    <row r="2001" spans="4:20" x14ac:dyDescent="0.25">
      <c r="D2001" s="38" t="str">
        <f t="shared" si="124"/>
        <v/>
      </c>
      <c r="E2001" s="38" t="str">
        <f t="shared" si="125"/>
        <v/>
      </c>
      <c r="L2001" s="38" t="str">
        <f t="shared" si="126"/>
        <v/>
      </c>
      <c r="T2001" s="38" t="str">
        <f t="shared" si="127"/>
        <v/>
      </c>
    </row>
  </sheetData>
  <mergeCells count="1">
    <mergeCell ref="AA8:AC14"/>
  </mergeCells>
  <conditionalFormatting sqref="L2:L2000">
    <cfRule type="expression" dxfId="1" priority="1">
      <formula>INDIRECT("K"&amp;ROW())="Target"</formula>
    </cfRule>
    <cfRule type="expression" dxfId="0" priority="2">
      <formula>INDIRECT("K"&amp;ROW())="Stop Loss"</formula>
    </cfRule>
  </conditionalFormatting>
  <dataValidations count="7">
    <dataValidation type="list" allowBlank="1" showInputMessage="1" showErrorMessage="1" sqref="F2:F1048576" xr:uid="{00000000-0002-0000-0000-000001000000}">
      <formula1>"Long, Short"</formula1>
    </dataValidation>
    <dataValidation type="list" allowBlank="1" showInputMessage="1" showErrorMessage="1" sqref="K1:K1048576" xr:uid="{00000000-0002-0000-0000-000002000000}">
      <formula1>"Target, Stop Loss, Breakeven"</formula1>
    </dataValidation>
    <dataValidation type="list" allowBlank="1" showInputMessage="1" showErrorMessage="1" sqref="C2:C1048576" xr:uid="{00000000-0002-0000-0000-000003000000}">
      <formula1>"06:00,06:30,07:00,07:30,08:00,08:30,09:00,09:30, 10:00,10:30,11:00,11:30,12:00,12:30,13:00,13:30,14:00,14:30, 15:00,15:30,16:00,16:30,17:00,17:30,18:00,18:30,19:00,19:30, 20:00,20:30,21:00,21:30,22:00,22:30,23:00,23:30"</formula1>
    </dataValidation>
    <dataValidation type="list" allowBlank="1" showInputMessage="1" showErrorMessage="1" sqref="A2:A1048576" xr:uid="{00000000-0002-0000-0000-000004000000}">
      <formula1>"US100,AUDCAD,AUDCHF,AUDJPY,AUDNZD,AUDUSD,CADCHF,CADJPY,CHFJPY,EURAUD,EURCAD,EURCHF,EURGBP,EURJPY,EURNZD,EURUSD,GBPAUD,GBPCAD,GBPCHF,GBPJPY,GBPNZD,GBPUSD,NZDCAD,NZDCHF,NZDJPY,NZDUSD,USDCAD,USDCHF,USDJPY,XAUUSD,XAGUSD,USOIL,DAX"</formula1>
    </dataValidation>
    <dataValidation type="list" allowBlank="1" showInputMessage="1" showErrorMessage="1" sqref="N2:N1048576" xr:uid="{00000000-0002-0000-0000-000005000000}">
      <formula1>"m1,m3, m5, m15, m30"</formula1>
    </dataValidation>
    <dataValidation type="list" allowBlank="1" showInputMessage="1" showErrorMessage="1" sqref="U2:U1048576" xr:uid="{A25D2F0F-DF07-42B0-ADE2-0BD1E83F625A}">
      <formula1>"fiducioso, calma, sicuro, ansia, impaziente, stress"</formula1>
    </dataValidation>
    <dataValidation type="list" allowBlank="1" showInputMessage="1" showErrorMessage="1" sqref="G1:G1048576" xr:uid="{F59AB819-29FC-434C-8871-12F5FD29D20F}">
      <mc:AlternateContent xmlns:x12ac="http://schemas.microsoft.com/office/spreadsheetml/2011/1/ac" xmlns:mc="http://schemas.openxmlformats.org/markup-compatibility/2006">
        <mc:Choice Requires="x12ac">
          <x12ac:list>2%,1%,"0,5%","0,25%"</x12ac:list>
        </mc:Choice>
        <mc:Fallback>
          <formula1>"2%,1%,0,5%,0,25%"</formula1>
        </mc:Fallback>
      </mc:AlternateContent>
    </dataValidation>
  </dataValidations>
  <hyperlinks>
    <hyperlink ref="O2" r:id="rId1" display="https://www.tradingview.com/x/B0kTAu4P/" xr:uid="{187F704D-B641-44DF-B525-ED61F26B5E0B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196"/>
  <sheetViews>
    <sheetView zoomScale="80" zoomScaleNormal="80" workbookViewId="0">
      <selection activeCell="AS7" sqref="AS7"/>
    </sheetView>
  </sheetViews>
  <sheetFormatPr defaultRowHeight="15" x14ac:dyDescent="0.25"/>
  <cols>
    <col min="1" max="1" width="20.85546875" bestFit="1" customWidth="1"/>
    <col min="2" max="2" width="21.7109375" bestFit="1" customWidth="1"/>
    <col min="3" max="3" width="23.42578125" style="1" bestFit="1" customWidth="1"/>
    <col min="4" max="4" width="18.85546875" style="1" bestFit="1" customWidth="1"/>
    <col min="5" max="5" width="9.42578125" bestFit="1" customWidth="1"/>
    <col min="6" max="6" width="7" bestFit="1" customWidth="1"/>
    <col min="7" max="7" width="6.7109375" bestFit="1" customWidth="1"/>
    <col min="8" max="8" width="10.5703125" bestFit="1" customWidth="1"/>
  </cols>
  <sheetData>
    <row r="1" spans="1:45" x14ac:dyDescent="0.25">
      <c r="A1" s="26" t="s">
        <v>26</v>
      </c>
      <c r="B1" s="27">
        <f>COUNTIF(Dati!$K$2:$K$2000,"Target")</f>
        <v>1</v>
      </c>
      <c r="C1" s="28" t="s">
        <v>57</v>
      </c>
      <c r="D1" s="28" t="s">
        <v>58</v>
      </c>
      <c r="E1" s="29"/>
      <c r="F1" s="25"/>
      <c r="G1" s="23"/>
      <c r="H1" s="19" t="s">
        <v>59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spans="1:45" x14ac:dyDescent="0.25">
      <c r="A2" s="26" t="s">
        <v>23</v>
      </c>
      <c r="B2" s="27">
        <f>COUNTIF(Dati!$K$2:$K$2000,"Stop Loss")</f>
        <v>0</v>
      </c>
      <c r="C2" s="28" t="s">
        <v>56</v>
      </c>
      <c r="D2" s="22" t="s">
        <v>32</v>
      </c>
      <c r="E2" s="30" t="s">
        <v>23</v>
      </c>
      <c r="F2" s="24" t="s">
        <v>26</v>
      </c>
      <c r="G2" s="24" t="s">
        <v>63</v>
      </c>
      <c r="H2" s="20">
        <f t="shared" ref="H2:H11" si="0">IF(SUM(D3:F3)=0, "", F3/SUM(D3:F3))</f>
        <v>1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 spans="1:45" ht="18" customHeight="1" x14ac:dyDescent="0.25">
      <c r="A3" s="26" t="s">
        <v>32</v>
      </c>
      <c r="B3" s="27">
        <f>COUNTIF(Dati!$K$2:$K$2000,"Breakeven")</f>
        <v>0</v>
      </c>
      <c r="C3" s="31" t="s">
        <v>25</v>
      </c>
      <c r="D3">
        <v>0</v>
      </c>
      <c r="E3">
        <v>0</v>
      </c>
      <c r="F3">
        <v>3</v>
      </c>
      <c r="G3">
        <v>3</v>
      </c>
      <c r="H3" s="20">
        <f t="shared" si="0"/>
        <v>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</row>
    <row r="4" spans="1:45" ht="18" customHeight="1" x14ac:dyDescent="0.25">
      <c r="A4" s="26" t="s">
        <v>82</v>
      </c>
      <c r="B4" s="27">
        <f>B1+B3</f>
        <v>1</v>
      </c>
      <c r="C4" s="31" t="s">
        <v>21</v>
      </c>
      <c r="D4">
        <v>0</v>
      </c>
      <c r="E4">
        <v>1</v>
      </c>
      <c r="F4">
        <v>0</v>
      </c>
      <c r="G4">
        <v>1</v>
      </c>
      <c r="H4" s="20">
        <f t="shared" si="0"/>
        <v>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</row>
    <row r="5" spans="1:45" ht="18" customHeight="1" x14ac:dyDescent="0.25">
      <c r="A5" s="26" t="s">
        <v>38</v>
      </c>
      <c r="B5" s="27">
        <f>SUM(B1:B3)</f>
        <v>1</v>
      </c>
      <c r="C5" s="31" t="s">
        <v>29</v>
      </c>
      <c r="D5">
        <v>0</v>
      </c>
      <c r="E5">
        <v>1</v>
      </c>
      <c r="F5">
        <v>0</v>
      </c>
      <c r="G5">
        <v>1</v>
      </c>
      <c r="H5" s="20">
        <f t="shared" si="0"/>
        <v>0.66666666666666663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S5" t="s">
        <v>72</v>
      </c>
    </row>
    <row r="6" spans="1:45" ht="18" customHeight="1" x14ac:dyDescent="0.25">
      <c r="A6" s="26" t="s">
        <v>39</v>
      </c>
      <c r="B6" s="32">
        <f>IFERROR(AVERAGE(Dati!$L$2:$L$2000),"")</f>
        <v>1.7500000000000002E-2</v>
      </c>
      <c r="C6" s="31" t="s">
        <v>31</v>
      </c>
      <c r="D6">
        <v>1</v>
      </c>
      <c r="E6">
        <v>0</v>
      </c>
      <c r="F6">
        <v>2</v>
      </c>
      <c r="G6">
        <v>3</v>
      </c>
      <c r="H6" s="20">
        <f t="shared" si="0"/>
        <v>1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spans="1:45" ht="18" customHeight="1" x14ac:dyDescent="0.25">
      <c r="A7" s="26" t="s">
        <v>40</v>
      </c>
      <c r="B7" s="27">
        <f>COUNTIF(Dati!$F$2:$F$2000,"Long")</f>
        <v>1</v>
      </c>
      <c r="C7" s="31" t="s">
        <v>28</v>
      </c>
      <c r="D7">
        <v>0</v>
      </c>
      <c r="E7">
        <v>0</v>
      </c>
      <c r="F7">
        <v>1</v>
      </c>
      <c r="G7">
        <v>1</v>
      </c>
      <c r="H7" s="20">
        <f t="shared" si="0"/>
        <v>1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spans="1:45" ht="18" customHeight="1" x14ac:dyDescent="0.25">
      <c r="A8" s="26" t="s">
        <v>41</v>
      </c>
      <c r="B8" s="27">
        <f>COUNTIF(Dati!$F$2:$F$2000,"Short")</f>
        <v>0</v>
      </c>
      <c r="C8" s="31" t="s">
        <v>36</v>
      </c>
      <c r="D8">
        <v>0</v>
      </c>
      <c r="E8">
        <v>0</v>
      </c>
      <c r="F8">
        <v>1</v>
      </c>
      <c r="G8">
        <v>1</v>
      </c>
      <c r="H8" s="20">
        <f t="shared" si="0"/>
        <v>1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spans="1:45" ht="18" customHeight="1" x14ac:dyDescent="0.25">
      <c r="A9" s="26" t="s">
        <v>42</v>
      </c>
      <c r="B9" s="32">
        <f>IFERROR(B1/B5, 0)</f>
        <v>1</v>
      </c>
      <c r="C9" s="31" t="s">
        <v>35</v>
      </c>
      <c r="D9">
        <v>0</v>
      </c>
      <c r="E9">
        <v>0</v>
      </c>
      <c r="F9">
        <v>1</v>
      </c>
      <c r="G9">
        <v>1</v>
      </c>
      <c r="H9" s="20">
        <f t="shared" si="0"/>
        <v>1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spans="1:45" ht="18" customHeight="1" x14ac:dyDescent="0.25">
      <c r="A10" s="26" t="s">
        <v>43</v>
      </c>
      <c r="B10" s="32">
        <f>IFERROR(AVERAGEIF(Dati!$K$2:$K$2000, "Target", Dati!$L$2:$L$2000), "")</f>
        <v>1.7500000000000002E-2</v>
      </c>
      <c r="C10" s="31" t="s">
        <v>60</v>
      </c>
      <c r="D10">
        <v>0</v>
      </c>
      <c r="E10">
        <v>0</v>
      </c>
      <c r="F10">
        <v>2</v>
      </c>
      <c r="G10">
        <v>2</v>
      </c>
      <c r="H10" s="20">
        <f t="shared" si="0"/>
        <v>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spans="1:45" ht="18" customHeight="1" x14ac:dyDescent="0.25">
      <c r="A11" s="26" t="s">
        <v>44</v>
      </c>
      <c r="B11" s="32" t="str">
        <f>IFERROR(AVERAGEIF(Dati!$K$2:$K$2000, "Stop Loss", Dati!$L$2:$L$2000), "")</f>
        <v/>
      </c>
      <c r="C11" s="31" t="s">
        <v>61</v>
      </c>
      <c r="D11">
        <v>0</v>
      </c>
      <c r="E11">
        <v>1</v>
      </c>
      <c r="F11">
        <v>0</v>
      </c>
      <c r="G11">
        <v>1</v>
      </c>
      <c r="H11" s="20">
        <f t="shared" si="0"/>
        <v>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spans="1:45" ht="18" customHeight="1" x14ac:dyDescent="0.25">
      <c r="A12" s="26" t="s">
        <v>45</v>
      </c>
      <c r="B12" s="33">
        <f>IFERROR(AVERAGEIF(Dati!$K$2:$K$2000, "Target", Dati!$H$2:$H$2000), "")</f>
        <v>3.5</v>
      </c>
      <c r="C12" s="31" t="s">
        <v>62</v>
      </c>
      <c r="D12">
        <v>0</v>
      </c>
      <c r="E12">
        <v>1</v>
      </c>
      <c r="F12">
        <v>0</v>
      </c>
      <c r="G12">
        <v>1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45" x14ac:dyDescent="0.25">
      <c r="A13" s="34" t="s">
        <v>46</v>
      </c>
      <c r="B13" s="32">
        <f>IFERROR(LOOKUP(9.99E+307, Dati!$T$2:$T$2000), 0)</f>
        <v>1.7500000000000002E-2</v>
      </c>
      <c r="C13" s="37"/>
      <c r="D13" s="37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45" x14ac:dyDescent="0.25">
      <c r="A14" s="34" t="s">
        <v>47</v>
      </c>
      <c r="B14" s="33">
        <f>IFERROR(SUMIFS(Dati!$L$2:$L$2000, Dati!$L$2:$L$2000, "&gt;0")/ABS(SUMIFS(Dati!$L$2:$L$2000, Dati!$L$2:$L$2000, "&lt;0")),0)</f>
        <v>0</v>
      </c>
      <c r="C14" s="37"/>
      <c r="D14" s="37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spans="1:45" x14ac:dyDescent="0.25">
      <c r="A15" s="34" t="s">
        <v>48</v>
      </c>
      <c r="B15" s="32">
        <f>IFERROR(MIN(Dati!$T$2:$T$2000),0)</f>
        <v>1.7500000000000002E-2</v>
      </c>
      <c r="C15" s="37"/>
      <c r="D15" s="37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spans="1:45" x14ac:dyDescent="0.25">
      <c r="A16" s="35" t="s">
        <v>55</v>
      </c>
      <c r="B16" t="s">
        <v>49</v>
      </c>
      <c r="C16" t="s">
        <v>50</v>
      </c>
      <c r="D16" t="s">
        <v>47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spans="1:34" x14ac:dyDescent="0.25">
      <c r="A17" t="s">
        <v>22</v>
      </c>
      <c r="B17" s="36">
        <f>COUNTIFS(Dati!$F$2:$F$2000,"Long",Dati!$L$2:$L$2000,"&lt;&gt;")</f>
        <v>1</v>
      </c>
      <c r="C17" s="1">
        <f>IFERROR(AVERAGEIFS(Dati!$L$2:$L$2000, Dati!$F$2:$F$2000, "Long"),"")</f>
        <v>1.7500000000000002E-2</v>
      </c>
      <c r="D17" s="5">
        <f>IFERROR(SUMIFS(Dati!$L$2:$L$2000, Dati!$F$2:$F$2000, "Long", Dati!$L$2:$L$2000, "&gt;0")/ABS(SUMIFS(Dati!$L$2:$L$2000, Dati!$F$2:$F$2000, "Long", Dati!$L$2:$L$2000, "&lt;0")),0)</f>
        <v>0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spans="1:34" x14ac:dyDescent="0.25">
      <c r="A18" t="s">
        <v>33</v>
      </c>
      <c r="B18" s="36">
        <f>COUNTIFS(Dati!$F$2:$F$2000,"Short",Dati!$L$2:$L$2000,"&lt;&gt;")</f>
        <v>0</v>
      </c>
      <c r="C18" s="1" t="str">
        <f>IFERROR(AVERAGEIFS(Dati!$L$2:$L$2000, Dati!$F$2:$F$2000, "Short"),"")</f>
        <v/>
      </c>
      <c r="D18" s="5">
        <f>IFERROR(SUMIFS(Dati!$L$2:$L$2000, Dati!$F$2:$F$2000, "Short", Dati!$L$2:$L$2000, "&gt;0")/ABS(SUMIFS(Dati!$L$2:$L$2000, Dati!$F$2:$F$2000, "Short", Dati!$L$2:$L$2000, "&lt;0")),0)</f>
        <v>0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spans="1:34" x14ac:dyDescent="0.25">
      <c r="A19" t="s">
        <v>32</v>
      </c>
      <c r="B19" s="36">
        <f>COUNTIFS(Dati!$K$2:$K$2000,"Breakeven",Dati!$L$2:$L$2000,"&lt;&gt;")</f>
        <v>0</v>
      </c>
      <c r="C19" s="1" t="str">
        <f>IFERROR(AVERAGEIFS(Dati!$L$2:$L$2000, Dati!$K$2:$K$2000, "Breakeven"),"")</f>
        <v/>
      </c>
      <c r="D19" s="5">
        <f>IFERROR(SUMIFS(Dati!$L$2:$L$2000, Dati!$K$2:$K$2000, "Breakeven", Dati!$L$2:$L$2000, "&gt;0")/ABS(SUMIFS(Dati!$L$2:$L$2000, Dati!$K$2:$K$2000, "Breakeven", Dati!$L$2:$L$2000, "&lt;0")),0)</f>
        <v>0</v>
      </c>
      <c r="E19" s="37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 spans="1:34" x14ac:dyDescent="0.25">
      <c r="A20" t="s">
        <v>57</v>
      </c>
      <c r="B20" t="s">
        <v>58</v>
      </c>
      <c r="C20"/>
      <c r="D20"/>
      <c r="E20" s="37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 spans="1:34" x14ac:dyDescent="0.25">
      <c r="A21" t="s">
        <v>56</v>
      </c>
      <c r="B21" t="s">
        <v>32</v>
      </c>
      <c r="C21" t="s">
        <v>23</v>
      </c>
      <c r="D21" t="s">
        <v>26</v>
      </c>
      <c r="E21" s="37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 spans="1:34" x14ac:dyDescent="0.25">
      <c r="A22" s="31" t="s">
        <v>64</v>
      </c>
      <c r="B22">
        <v>1</v>
      </c>
      <c r="C22">
        <v>1</v>
      </c>
      <c r="D22">
        <v>1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spans="1:34" x14ac:dyDescent="0.25">
      <c r="A23" s="31" t="s">
        <v>65</v>
      </c>
      <c r="C23"/>
      <c r="D23">
        <v>1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spans="1:34" x14ac:dyDescent="0.25">
      <c r="A24" s="31" t="s">
        <v>66</v>
      </c>
      <c r="C24"/>
      <c r="D24">
        <v>1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spans="1:34" x14ac:dyDescent="0.25">
      <c r="A25" s="31" t="s">
        <v>67</v>
      </c>
      <c r="C25">
        <v>2</v>
      </c>
      <c r="D25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</row>
    <row r="26" spans="1:34" x14ac:dyDescent="0.25">
      <c r="A26" s="31" t="s">
        <v>68</v>
      </c>
      <c r="C26"/>
      <c r="D26">
        <v>1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 spans="1:34" x14ac:dyDescent="0.25">
      <c r="A27" s="31" t="s">
        <v>69</v>
      </c>
      <c r="C27">
        <v>1</v>
      </c>
      <c r="D27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 spans="1:34" x14ac:dyDescent="0.25">
      <c r="A28" s="31" t="s">
        <v>70</v>
      </c>
      <c r="C28"/>
      <c r="D28">
        <v>1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 spans="1:34" x14ac:dyDescent="0.25">
      <c r="A29" t="s">
        <v>51</v>
      </c>
      <c r="B29" t="s">
        <v>52</v>
      </c>
      <c r="C29" t="s">
        <v>50</v>
      </c>
      <c r="D29" s="37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4" x14ac:dyDescent="0.25">
      <c r="A30" t="s">
        <v>34</v>
      </c>
      <c r="B30" s="36">
        <f>COUNTIF(Dati!$U$2:$U$2000, "ansia")</f>
        <v>0</v>
      </c>
      <c r="C30" s="1" t="str">
        <f>IFERROR(AVERAGEIFS(Dati!$L$2:$L$2000, Dati!$U$2:$U$2000, "ansia"), "")</f>
        <v/>
      </c>
      <c r="D30" s="37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</row>
    <row r="31" spans="1:34" x14ac:dyDescent="0.25">
      <c r="A31" t="s">
        <v>27</v>
      </c>
      <c r="B31" s="36">
        <f>COUNTIF(Dati!$U$2:$U$2000, "calma")</f>
        <v>0</v>
      </c>
      <c r="C31" s="1" t="str">
        <f>IFERROR(AVERAGEIFS(Dati!$L$2:$L$2000, Dati!$U$2:$U$2000, "calma"), "")</f>
        <v/>
      </c>
      <c r="D31" s="37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</row>
    <row r="32" spans="1:34" x14ac:dyDescent="0.25">
      <c r="A32" t="s">
        <v>24</v>
      </c>
      <c r="B32" s="36">
        <f>COUNTIF(Dati!$U$2:$U$2000, "fiducioso")</f>
        <v>0</v>
      </c>
      <c r="C32" s="1" t="str">
        <f>IFERROR(AVERAGEIFS(Dati!$L$2:$L$2000, Dati!$U$2:$U$2000, "fiducioso"), "")</f>
        <v/>
      </c>
      <c r="D32" s="37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</row>
    <row r="33" spans="1:34" x14ac:dyDescent="0.25">
      <c r="A33" t="s">
        <v>30</v>
      </c>
      <c r="B33" s="36">
        <f>COUNTIF(Dati!$U$2:$U$2000, "impaziente")</f>
        <v>0</v>
      </c>
      <c r="C33" s="1" t="str">
        <f>IFERROR(AVERAGEIFS(Dati!$L$2:$L$2000, Dati!$U$2:$U$2000, "impaziente"), "")</f>
        <v/>
      </c>
      <c r="D33" s="37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</row>
    <row r="34" spans="1:34" x14ac:dyDescent="0.25">
      <c r="A34" t="s">
        <v>53</v>
      </c>
      <c r="B34" s="36">
        <f>COUNTIF(Dati!$U$2:$U$2000, "paura")</f>
        <v>0</v>
      </c>
      <c r="C34" s="1" t="str">
        <f>IFERROR(AVERAGEIFS(Dati!$L$2:$L$2000, Dati!$U$2:$U$2000, "paura"), "")</f>
        <v/>
      </c>
      <c r="D34" s="37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</row>
    <row r="35" spans="1:34" x14ac:dyDescent="0.25">
      <c r="A35" t="s">
        <v>54</v>
      </c>
      <c r="B35" s="36">
        <f>COUNTIF(Dati!$U$2:$U$2000, "sicuro")</f>
        <v>0</v>
      </c>
      <c r="C35" s="1" t="str">
        <f>IFERROR(AVERAGEIFS(Dati!$L$2:$L$2000, Dati!$U$2:$U$2000, "sicuro"), "")</f>
        <v/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</row>
    <row r="36" spans="1:34" x14ac:dyDescent="0.25">
      <c r="A36" t="s">
        <v>37</v>
      </c>
      <c r="B36" s="36">
        <f>COUNTIF(Dati!$U$2:$U$2000, "stress")</f>
        <v>0</v>
      </c>
      <c r="C36" s="1" t="str">
        <f>IFERROR(AVERAGEIFS(Dati!$L$2:$L$2000, Dati!$U$2:$U$2000, "stress"), "")</f>
        <v/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</row>
    <row r="37" spans="1:34" x14ac:dyDescent="0.25">
      <c r="A37" t="s">
        <v>57</v>
      </c>
      <c r="B37" t="s">
        <v>58</v>
      </c>
      <c r="C37"/>
      <c r="D37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</row>
    <row r="38" spans="1:34" x14ac:dyDescent="0.25">
      <c r="A38" t="s">
        <v>56</v>
      </c>
      <c r="B38" t="s">
        <v>32</v>
      </c>
      <c r="C38" t="s">
        <v>23</v>
      </c>
      <c r="D38" t="s">
        <v>26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</row>
    <row r="39" spans="1:34" x14ac:dyDescent="0.25">
      <c r="A39" s="31" t="s">
        <v>77</v>
      </c>
      <c r="C39"/>
      <c r="D39">
        <v>2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</row>
    <row r="40" spans="1:34" x14ac:dyDescent="0.25">
      <c r="A40" s="31" t="s">
        <v>81</v>
      </c>
      <c r="C40"/>
      <c r="D40">
        <v>2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</row>
    <row r="41" spans="1:34" x14ac:dyDescent="0.25">
      <c r="A41" s="31" t="s">
        <v>78</v>
      </c>
      <c r="C41"/>
      <c r="D41">
        <v>3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</row>
    <row r="42" spans="1:34" x14ac:dyDescent="0.25">
      <c r="A42" s="31" t="s">
        <v>79</v>
      </c>
      <c r="B42">
        <v>1</v>
      </c>
      <c r="C42">
        <v>1</v>
      </c>
      <c r="D42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</row>
    <row r="43" spans="1:34" x14ac:dyDescent="0.25">
      <c r="A43" s="31" t="s">
        <v>80</v>
      </c>
      <c r="C43">
        <v>1</v>
      </c>
      <c r="D43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</row>
    <row r="44" spans="1:34" x14ac:dyDescent="0.25">
      <c r="D44" s="37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</row>
    <row r="45" spans="1:34" x14ac:dyDescent="0.25">
      <c r="D45" s="37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</row>
    <row r="46" spans="1:34" x14ac:dyDescent="0.25">
      <c r="D46" s="37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</row>
    <row r="47" spans="1:34" x14ac:dyDescent="0.25">
      <c r="D47" s="37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</row>
    <row r="48" spans="1:34" x14ac:dyDescent="0.25">
      <c r="D48" s="37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</row>
    <row r="49" spans="3:34" x14ac:dyDescent="0.25">
      <c r="D49" s="37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</row>
    <row r="50" spans="3:34" x14ac:dyDescent="0.25">
      <c r="D50" s="37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</row>
    <row r="51" spans="3:34" x14ac:dyDescent="0.25">
      <c r="D51" s="37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</row>
    <row r="53" spans="3:34" x14ac:dyDescent="0.25">
      <c r="C53" s="1" t="s">
        <v>83</v>
      </c>
    </row>
    <row r="54" spans="3:34" x14ac:dyDescent="0.25">
      <c r="C54" s="1" t="s">
        <v>84</v>
      </c>
    </row>
    <row r="55" spans="3:34" x14ac:dyDescent="0.25">
      <c r="C55" s="1" t="s">
        <v>85</v>
      </c>
    </row>
    <row r="56" spans="3:34" x14ac:dyDescent="0.25">
      <c r="C56" s="1" t="s">
        <v>86</v>
      </c>
    </row>
    <row r="57" spans="3:34" x14ac:dyDescent="0.25">
      <c r="C57" s="1" t="s">
        <v>87</v>
      </c>
    </row>
    <row r="65" spans="3:10" x14ac:dyDescent="0.25">
      <c r="J65" s="16"/>
    </row>
    <row r="67" spans="3:10" x14ac:dyDescent="0.25">
      <c r="G67" s="15"/>
    </row>
    <row r="77" spans="3:10" x14ac:dyDescent="0.25">
      <c r="C77"/>
      <c r="D77"/>
    </row>
    <row r="78" spans="3:10" x14ac:dyDescent="0.25">
      <c r="C78"/>
      <c r="D78"/>
    </row>
    <row r="79" spans="3:10" x14ac:dyDescent="0.25">
      <c r="C79"/>
      <c r="D79"/>
    </row>
    <row r="80" spans="3:10" x14ac:dyDescent="0.25">
      <c r="C80"/>
      <c r="D80"/>
    </row>
    <row r="81" spans="3:4" x14ac:dyDescent="0.25">
      <c r="C81"/>
      <c r="D81"/>
    </row>
    <row r="82" spans="3:4" x14ac:dyDescent="0.25">
      <c r="C82"/>
      <c r="D82"/>
    </row>
    <row r="83" spans="3:4" x14ac:dyDescent="0.25">
      <c r="C83"/>
      <c r="D83"/>
    </row>
    <row r="84" spans="3:4" x14ac:dyDescent="0.25">
      <c r="C84"/>
      <c r="D84"/>
    </row>
    <row r="85" spans="3:4" x14ac:dyDescent="0.25">
      <c r="C85"/>
      <c r="D85"/>
    </row>
    <row r="86" spans="3:4" x14ac:dyDescent="0.25">
      <c r="C86"/>
      <c r="D86"/>
    </row>
    <row r="87" spans="3:4" x14ac:dyDescent="0.25">
      <c r="C87"/>
      <c r="D87"/>
    </row>
    <row r="88" spans="3:4" x14ac:dyDescent="0.25">
      <c r="C88"/>
      <c r="D88"/>
    </row>
    <row r="89" spans="3:4" x14ac:dyDescent="0.25">
      <c r="C89"/>
      <c r="D89"/>
    </row>
    <row r="90" spans="3:4" x14ac:dyDescent="0.25">
      <c r="C90"/>
      <c r="D90"/>
    </row>
    <row r="91" spans="3:4" x14ac:dyDescent="0.25">
      <c r="C91"/>
      <c r="D91"/>
    </row>
    <row r="92" spans="3:4" x14ac:dyDescent="0.25">
      <c r="C92"/>
      <c r="D92"/>
    </row>
    <row r="93" spans="3:4" x14ac:dyDescent="0.25">
      <c r="C93"/>
      <c r="D93"/>
    </row>
    <row r="94" spans="3:4" x14ac:dyDescent="0.25">
      <c r="C94"/>
      <c r="D94"/>
    </row>
    <row r="95" spans="3:4" x14ac:dyDescent="0.25">
      <c r="C95"/>
      <c r="D95"/>
    </row>
    <row r="96" spans="3:4" x14ac:dyDescent="0.25">
      <c r="C96"/>
      <c r="D96"/>
    </row>
    <row r="97" spans="3:4" x14ac:dyDescent="0.25">
      <c r="C97"/>
      <c r="D97"/>
    </row>
    <row r="98" spans="3:4" x14ac:dyDescent="0.25">
      <c r="C98"/>
      <c r="D98"/>
    </row>
    <row r="99" spans="3:4" x14ac:dyDescent="0.25">
      <c r="C99"/>
      <c r="D99"/>
    </row>
    <row r="100" spans="3:4" x14ac:dyDescent="0.25">
      <c r="C100"/>
      <c r="D100"/>
    </row>
    <row r="101" spans="3:4" x14ac:dyDescent="0.25">
      <c r="C101"/>
      <c r="D101"/>
    </row>
    <row r="102" spans="3:4" x14ac:dyDescent="0.25">
      <c r="C102"/>
      <c r="D102"/>
    </row>
    <row r="103" spans="3:4" x14ac:dyDescent="0.25">
      <c r="C103"/>
      <c r="D103"/>
    </row>
    <row r="104" spans="3:4" x14ac:dyDescent="0.25">
      <c r="C104"/>
      <c r="D104"/>
    </row>
    <row r="105" spans="3:4" x14ac:dyDescent="0.25">
      <c r="C105"/>
      <c r="D105"/>
    </row>
    <row r="106" spans="3:4" x14ac:dyDescent="0.25">
      <c r="C106"/>
      <c r="D106"/>
    </row>
    <row r="107" spans="3:4" x14ac:dyDescent="0.25">
      <c r="C107"/>
      <c r="D107"/>
    </row>
    <row r="108" spans="3:4" x14ac:dyDescent="0.25">
      <c r="C108"/>
      <c r="D108"/>
    </row>
    <row r="109" spans="3:4" x14ac:dyDescent="0.25">
      <c r="C109"/>
      <c r="D109"/>
    </row>
    <row r="110" spans="3:4" x14ac:dyDescent="0.25">
      <c r="C110"/>
      <c r="D110"/>
    </row>
    <row r="111" spans="3:4" x14ac:dyDescent="0.25">
      <c r="C111"/>
      <c r="D111"/>
    </row>
    <row r="112" spans="3:4" x14ac:dyDescent="0.25">
      <c r="C112"/>
      <c r="D112"/>
    </row>
    <row r="113" spans="3:4" x14ac:dyDescent="0.25">
      <c r="C113"/>
      <c r="D113"/>
    </row>
    <row r="114" spans="3:4" x14ac:dyDescent="0.25">
      <c r="C114"/>
      <c r="D114"/>
    </row>
    <row r="115" spans="3:4" x14ac:dyDescent="0.25">
      <c r="C115"/>
      <c r="D115"/>
    </row>
    <row r="116" spans="3:4" x14ac:dyDescent="0.25">
      <c r="C116"/>
      <c r="D116"/>
    </row>
    <row r="117" spans="3:4" x14ac:dyDescent="0.25">
      <c r="C117"/>
      <c r="D117"/>
    </row>
    <row r="118" spans="3:4" x14ac:dyDescent="0.25">
      <c r="C118"/>
      <c r="D118"/>
    </row>
    <row r="119" spans="3:4" x14ac:dyDescent="0.25">
      <c r="C119"/>
      <c r="D119"/>
    </row>
    <row r="120" spans="3:4" x14ac:dyDescent="0.25">
      <c r="C120"/>
      <c r="D120"/>
    </row>
    <row r="121" spans="3:4" x14ac:dyDescent="0.25">
      <c r="C121"/>
      <c r="D121"/>
    </row>
    <row r="122" spans="3:4" x14ac:dyDescent="0.25">
      <c r="C122"/>
      <c r="D122"/>
    </row>
    <row r="123" spans="3:4" x14ac:dyDescent="0.25">
      <c r="C123"/>
      <c r="D123"/>
    </row>
    <row r="124" spans="3:4" x14ac:dyDescent="0.25">
      <c r="C124"/>
      <c r="D124"/>
    </row>
    <row r="125" spans="3:4" x14ac:dyDescent="0.25">
      <c r="C125"/>
      <c r="D125"/>
    </row>
    <row r="126" spans="3:4" x14ac:dyDescent="0.25">
      <c r="C126"/>
      <c r="D126"/>
    </row>
    <row r="127" spans="3:4" x14ac:dyDescent="0.25">
      <c r="C127"/>
      <c r="D127"/>
    </row>
    <row r="128" spans="3:4" x14ac:dyDescent="0.25">
      <c r="C128"/>
      <c r="D128"/>
    </row>
    <row r="129" spans="3:4" x14ac:dyDescent="0.25">
      <c r="C129"/>
      <c r="D129"/>
    </row>
    <row r="130" spans="3:4" x14ac:dyDescent="0.25">
      <c r="C130"/>
      <c r="D130"/>
    </row>
    <row r="131" spans="3:4" x14ac:dyDescent="0.25">
      <c r="C131"/>
      <c r="D131"/>
    </row>
    <row r="132" spans="3:4" x14ac:dyDescent="0.25">
      <c r="C132"/>
      <c r="D132"/>
    </row>
    <row r="133" spans="3:4" x14ac:dyDescent="0.25">
      <c r="C133"/>
      <c r="D133"/>
    </row>
    <row r="134" spans="3:4" x14ac:dyDescent="0.25">
      <c r="C134"/>
      <c r="D134"/>
    </row>
    <row r="135" spans="3:4" x14ac:dyDescent="0.25">
      <c r="C135"/>
      <c r="D135"/>
    </row>
    <row r="136" spans="3:4" x14ac:dyDescent="0.25">
      <c r="C136"/>
      <c r="D136"/>
    </row>
    <row r="137" spans="3:4" x14ac:dyDescent="0.25">
      <c r="C137"/>
      <c r="D137"/>
    </row>
    <row r="138" spans="3:4" x14ac:dyDescent="0.25">
      <c r="C138"/>
      <c r="D138"/>
    </row>
    <row r="139" spans="3:4" x14ac:dyDescent="0.25">
      <c r="C139"/>
      <c r="D139"/>
    </row>
    <row r="140" spans="3:4" x14ac:dyDescent="0.25">
      <c r="C140"/>
      <c r="D140"/>
    </row>
    <row r="141" spans="3:4" x14ac:dyDescent="0.25">
      <c r="C141"/>
      <c r="D141"/>
    </row>
    <row r="142" spans="3:4" x14ac:dyDescent="0.25">
      <c r="C142"/>
      <c r="D142"/>
    </row>
    <row r="143" spans="3:4" x14ac:dyDescent="0.25">
      <c r="C143"/>
      <c r="D143"/>
    </row>
    <row r="144" spans="3:4" x14ac:dyDescent="0.25">
      <c r="C144"/>
      <c r="D144"/>
    </row>
    <row r="145" spans="3:4" x14ac:dyDescent="0.25">
      <c r="C145"/>
      <c r="D145"/>
    </row>
    <row r="146" spans="3:4" x14ac:dyDescent="0.25">
      <c r="C146"/>
      <c r="D146"/>
    </row>
    <row r="147" spans="3:4" x14ac:dyDescent="0.25">
      <c r="C147"/>
      <c r="D147"/>
    </row>
    <row r="148" spans="3:4" x14ac:dyDescent="0.25">
      <c r="C148"/>
      <c r="D148"/>
    </row>
    <row r="149" spans="3:4" x14ac:dyDescent="0.25">
      <c r="C149"/>
      <c r="D149"/>
    </row>
    <row r="150" spans="3:4" x14ac:dyDescent="0.25">
      <c r="C150"/>
      <c r="D150"/>
    </row>
    <row r="151" spans="3:4" x14ac:dyDescent="0.25">
      <c r="C151"/>
      <c r="D151"/>
    </row>
    <row r="152" spans="3:4" x14ac:dyDescent="0.25">
      <c r="C152"/>
      <c r="D152"/>
    </row>
    <row r="153" spans="3:4" x14ac:dyDescent="0.25">
      <c r="C153"/>
      <c r="D153"/>
    </row>
    <row r="154" spans="3:4" x14ac:dyDescent="0.25">
      <c r="C154"/>
      <c r="D154"/>
    </row>
    <row r="155" spans="3:4" x14ac:dyDescent="0.25">
      <c r="C155"/>
      <c r="D155"/>
    </row>
    <row r="156" spans="3:4" x14ac:dyDescent="0.25">
      <c r="C156"/>
      <c r="D156"/>
    </row>
    <row r="157" spans="3:4" x14ac:dyDescent="0.25">
      <c r="C157"/>
      <c r="D157"/>
    </row>
    <row r="158" spans="3:4" x14ac:dyDescent="0.25">
      <c r="C158"/>
      <c r="D158"/>
    </row>
    <row r="159" spans="3:4" x14ac:dyDescent="0.25">
      <c r="C159"/>
      <c r="D159"/>
    </row>
    <row r="160" spans="3:4" x14ac:dyDescent="0.25">
      <c r="C160"/>
      <c r="D160"/>
    </row>
    <row r="161" spans="3:4" x14ac:dyDescent="0.25">
      <c r="C161"/>
      <c r="D161"/>
    </row>
    <row r="162" spans="3:4" x14ac:dyDescent="0.25">
      <c r="C162"/>
      <c r="D162"/>
    </row>
    <row r="163" spans="3:4" x14ac:dyDescent="0.25">
      <c r="C163"/>
      <c r="D163"/>
    </row>
    <row r="164" spans="3:4" x14ac:dyDescent="0.25">
      <c r="C164"/>
      <c r="D164"/>
    </row>
    <row r="165" spans="3:4" x14ac:dyDescent="0.25">
      <c r="C165"/>
      <c r="D165"/>
    </row>
    <row r="166" spans="3:4" x14ac:dyDescent="0.25">
      <c r="C166"/>
      <c r="D166"/>
    </row>
    <row r="167" spans="3:4" x14ac:dyDescent="0.25">
      <c r="C167"/>
      <c r="D167"/>
    </row>
    <row r="168" spans="3:4" x14ac:dyDescent="0.25">
      <c r="C168"/>
      <c r="D168"/>
    </row>
    <row r="169" spans="3:4" x14ac:dyDescent="0.25">
      <c r="C169"/>
      <c r="D169"/>
    </row>
    <row r="170" spans="3:4" x14ac:dyDescent="0.25">
      <c r="C170"/>
      <c r="D170"/>
    </row>
    <row r="171" spans="3:4" x14ac:dyDescent="0.25">
      <c r="C171"/>
      <c r="D171"/>
    </row>
    <row r="172" spans="3:4" x14ac:dyDescent="0.25">
      <c r="C172"/>
      <c r="D172"/>
    </row>
    <row r="173" spans="3:4" x14ac:dyDescent="0.25">
      <c r="C173"/>
      <c r="D173"/>
    </row>
    <row r="174" spans="3:4" x14ac:dyDescent="0.25">
      <c r="C174"/>
      <c r="D174"/>
    </row>
    <row r="175" spans="3:4" x14ac:dyDescent="0.25">
      <c r="C175"/>
      <c r="D175"/>
    </row>
    <row r="176" spans="3:4" x14ac:dyDescent="0.25">
      <c r="C176"/>
      <c r="D176"/>
    </row>
    <row r="177" spans="3:4" x14ac:dyDescent="0.25">
      <c r="C177"/>
      <c r="D177"/>
    </row>
    <row r="178" spans="3:4" x14ac:dyDescent="0.25">
      <c r="C178"/>
      <c r="D178"/>
    </row>
    <row r="179" spans="3:4" x14ac:dyDescent="0.25">
      <c r="C179"/>
      <c r="D179"/>
    </row>
    <row r="180" spans="3:4" x14ac:dyDescent="0.25">
      <c r="C180"/>
      <c r="D180"/>
    </row>
    <row r="181" spans="3:4" x14ac:dyDescent="0.25">
      <c r="C181"/>
      <c r="D181"/>
    </row>
    <row r="182" spans="3:4" x14ac:dyDescent="0.25">
      <c r="C182"/>
      <c r="D182"/>
    </row>
    <row r="183" spans="3:4" x14ac:dyDescent="0.25">
      <c r="C183"/>
      <c r="D183"/>
    </row>
    <row r="184" spans="3:4" x14ac:dyDescent="0.25">
      <c r="C184"/>
      <c r="D184"/>
    </row>
    <row r="185" spans="3:4" x14ac:dyDescent="0.25">
      <c r="C185"/>
      <c r="D185"/>
    </row>
    <row r="186" spans="3:4" x14ac:dyDescent="0.25">
      <c r="C186"/>
      <c r="D186"/>
    </row>
    <row r="187" spans="3:4" x14ac:dyDescent="0.25">
      <c r="C187"/>
      <c r="D187"/>
    </row>
    <row r="188" spans="3:4" x14ac:dyDescent="0.25">
      <c r="C188"/>
      <c r="D188"/>
    </row>
    <row r="189" spans="3:4" x14ac:dyDescent="0.25">
      <c r="C189"/>
      <c r="D189"/>
    </row>
    <row r="190" spans="3:4" x14ac:dyDescent="0.25">
      <c r="C190"/>
      <c r="D190"/>
    </row>
    <row r="191" spans="3:4" x14ac:dyDescent="0.25">
      <c r="C191"/>
      <c r="D191"/>
    </row>
    <row r="192" spans="3:4" x14ac:dyDescent="0.25">
      <c r="C192"/>
      <c r="D192"/>
    </row>
    <row r="193" spans="3:4" x14ac:dyDescent="0.25">
      <c r="C193"/>
      <c r="D193"/>
    </row>
    <row r="194" spans="3:4" x14ac:dyDescent="0.25">
      <c r="C194"/>
      <c r="D194"/>
    </row>
    <row r="195" spans="3:4" x14ac:dyDescent="0.25">
      <c r="C195"/>
      <c r="D195"/>
    </row>
    <row r="196" spans="3:4" x14ac:dyDescent="0.25">
      <c r="C196"/>
      <c r="D196"/>
    </row>
    <row r="197" spans="3:4" x14ac:dyDescent="0.25">
      <c r="C197"/>
      <c r="D197"/>
    </row>
    <row r="198" spans="3:4" x14ac:dyDescent="0.25">
      <c r="C198"/>
      <c r="D198"/>
    </row>
    <row r="199" spans="3:4" x14ac:dyDescent="0.25">
      <c r="C199"/>
      <c r="D199"/>
    </row>
    <row r="200" spans="3:4" x14ac:dyDescent="0.25">
      <c r="C200"/>
      <c r="D200"/>
    </row>
    <row r="201" spans="3:4" x14ac:dyDescent="0.25">
      <c r="C201"/>
      <c r="D201"/>
    </row>
    <row r="202" spans="3:4" x14ac:dyDescent="0.25">
      <c r="C202"/>
      <c r="D202"/>
    </row>
    <row r="203" spans="3:4" x14ac:dyDescent="0.25">
      <c r="C203"/>
      <c r="D203"/>
    </row>
    <row r="204" spans="3:4" x14ac:dyDescent="0.25">
      <c r="C204"/>
      <c r="D204"/>
    </row>
    <row r="205" spans="3:4" x14ac:dyDescent="0.25">
      <c r="C205"/>
      <c r="D205"/>
    </row>
    <row r="206" spans="3:4" x14ac:dyDescent="0.25">
      <c r="C206"/>
      <c r="D206"/>
    </row>
    <row r="207" spans="3:4" x14ac:dyDescent="0.25">
      <c r="C207"/>
      <c r="D207"/>
    </row>
    <row r="208" spans="3:4" x14ac:dyDescent="0.25">
      <c r="C208"/>
      <c r="D208"/>
    </row>
    <row r="209" spans="3:4" x14ac:dyDescent="0.25">
      <c r="C209"/>
      <c r="D209"/>
    </row>
    <row r="210" spans="3:4" x14ac:dyDescent="0.25">
      <c r="C210"/>
      <c r="D210"/>
    </row>
    <row r="211" spans="3:4" x14ac:dyDescent="0.25">
      <c r="C211"/>
      <c r="D211"/>
    </row>
    <row r="212" spans="3:4" x14ac:dyDescent="0.25">
      <c r="C212"/>
      <c r="D212"/>
    </row>
    <row r="213" spans="3:4" x14ac:dyDescent="0.25">
      <c r="C213"/>
      <c r="D213"/>
    </row>
    <row r="214" spans="3:4" x14ac:dyDescent="0.25">
      <c r="C214"/>
      <c r="D214"/>
    </row>
    <row r="215" spans="3:4" x14ac:dyDescent="0.25">
      <c r="C215"/>
      <c r="D215"/>
    </row>
    <row r="216" spans="3:4" x14ac:dyDescent="0.25">
      <c r="C216"/>
      <c r="D216"/>
    </row>
    <row r="217" spans="3:4" x14ac:dyDescent="0.25">
      <c r="C217"/>
      <c r="D217"/>
    </row>
    <row r="218" spans="3:4" x14ac:dyDescent="0.25">
      <c r="C218"/>
      <c r="D218"/>
    </row>
    <row r="219" spans="3:4" x14ac:dyDescent="0.25">
      <c r="C219"/>
      <c r="D219"/>
    </row>
    <row r="220" spans="3:4" x14ac:dyDescent="0.25">
      <c r="C220"/>
      <c r="D220"/>
    </row>
    <row r="221" spans="3:4" x14ac:dyDescent="0.25">
      <c r="C221"/>
      <c r="D221"/>
    </row>
    <row r="222" spans="3:4" x14ac:dyDescent="0.25">
      <c r="C222"/>
      <c r="D222"/>
    </row>
    <row r="223" spans="3:4" x14ac:dyDescent="0.25">
      <c r="C223"/>
      <c r="D223"/>
    </row>
    <row r="224" spans="3:4" x14ac:dyDescent="0.25">
      <c r="C224"/>
      <c r="D224"/>
    </row>
    <row r="225" spans="3:4" x14ac:dyDescent="0.25">
      <c r="C225"/>
      <c r="D225"/>
    </row>
    <row r="226" spans="3:4" x14ac:dyDescent="0.25">
      <c r="C226"/>
      <c r="D226"/>
    </row>
    <row r="227" spans="3:4" x14ac:dyDescent="0.25">
      <c r="C227"/>
      <c r="D227"/>
    </row>
    <row r="228" spans="3:4" x14ac:dyDescent="0.25">
      <c r="C228"/>
      <c r="D228"/>
    </row>
    <row r="229" spans="3:4" x14ac:dyDescent="0.25">
      <c r="C229"/>
      <c r="D229"/>
    </row>
    <row r="230" spans="3:4" x14ac:dyDescent="0.25">
      <c r="C230"/>
      <c r="D230"/>
    </row>
    <row r="231" spans="3:4" x14ac:dyDescent="0.25">
      <c r="C231"/>
      <c r="D231"/>
    </row>
    <row r="232" spans="3:4" x14ac:dyDescent="0.25">
      <c r="C232"/>
      <c r="D232"/>
    </row>
    <row r="233" spans="3:4" x14ac:dyDescent="0.25">
      <c r="C233"/>
      <c r="D233"/>
    </row>
    <row r="234" spans="3:4" x14ac:dyDescent="0.25">
      <c r="C234"/>
      <c r="D234"/>
    </row>
    <row r="235" spans="3:4" x14ac:dyDescent="0.25">
      <c r="C235"/>
      <c r="D235"/>
    </row>
    <row r="236" spans="3:4" x14ac:dyDescent="0.25">
      <c r="C236"/>
      <c r="D236"/>
    </row>
    <row r="237" spans="3:4" x14ac:dyDescent="0.25">
      <c r="C237"/>
      <c r="D237"/>
    </row>
    <row r="238" spans="3:4" x14ac:dyDescent="0.25">
      <c r="C238"/>
      <c r="D238"/>
    </row>
    <row r="239" spans="3:4" x14ac:dyDescent="0.25">
      <c r="C239"/>
      <c r="D239"/>
    </row>
    <row r="240" spans="3:4" x14ac:dyDescent="0.25">
      <c r="C240"/>
      <c r="D240"/>
    </row>
    <row r="241" spans="3:4" x14ac:dyDescent="0.25">
      <c r="C241"/>
      <c r="D241"/>
    </row>
    <row r="242" spans="3:4" x14ac:dyDescent="0.25">
      <c r="C242"/>
      <c r="D242"/>
    </row>
    <row r="243" spans="3:4" x14ac:dyDescent="0.25">
      <c r="C243"/>
      <c r="D243"/>
    </row>
    <row r="244" spans="3:4" x14ac:dyDescent="0.25">
      <c r="C244"/>
      <c r="D244"/>
    </row>
    <row r="245" spans="3:4" x14ac:dyDescent="0.25">
      <c r="C245"/>
      <c r="D245"/>
    </row>
    <row r="246" spans="3:4" x14ac:dyDescent="0.25">
      <c r="C246"/>
      <c r="D246"/>
    </row>
    <row r="247" spans="3:4" x14ac:dyDescent="0.25">
      <c r="C247"/>
      <c r="D247"/>
    </row>
    <row r="248" spans="3:4" x14ac:dyDescent="0.25">
      <c r="C248"/>
      <c r="D248"/>
    </row>
    <row r="249" spans="3:4" x14ac:dyDescent="0.25">
      <c r="C249"/>
      <c r="D249"/>
    </row>
    <row r="250" spans="3:4" x14ac:dyDescent="0.25">
      <c r="C250"/>
      <c r="D250"/>
    </row>
    <row r="251" spans="3:4" x14ac:dyDescent="0.25">
      <c r="C251"/>
      <c r="D251"/>
    </row>
    <row r="252" spans="3:4" x14ac:dyDescent="0.25">
      <c r="C252"/>
      <c r="D252"/>
    </row>
    <row r="253" spans="3:4" x14ac:dyDescent="0.25">
      <c r="C253"/>
      <c r="D253"/>
    </row>
    <row r="254" spans="3:4" x14ac:dyDescent="0.25">
      <c r="C254"/>
      <c r="D254"/>
    </row>
    <row r="255" spans="3:4" x14ac:dyDescent="0.25">
      <c r="C255"/>
      <c r="D255"/>
    </row>
    <row r="256" spans="3:4" x14ac:dyDescent="0.25">
      <c r="C256"/>
      <c r="D256"/>
    </row>
    <row r="257" spans="3:4" x14ac:dyDescent="0.25">
      <c r="C257"/>
      <c r="D257"/>
    </row>
    <row r="258" spans="3:4" x14ac:dyDescent="0.25">
      <c r="C258"/>
      <c r="D258"/>
    </row>
    <row r="259" spans="3:4" x14ac:dyDescent="0.25">
      <c r="C259"/>
      <c r="D259"/>
    </row>
    <row r="260" spans="3:4" x14ac:dyDescent="0.25">
      <c r="C260"/>
      <c r="D260"/>
    </row>
    <row r="261" spans="3:4" x14ac:dyDescent="0.25">
      <c r="C261"/>
      <c r="D261"/>
    </row>
    <row r="262" spans="3:4" x14ac:dyDescent="0.25">
      <c r="C262"/>
      <c r="D262"/>
    </row>
    <row r="263" spans="3:4" x14ac:dyDescent="0.25">
      <c r="C263"/>
      <c r="D263"/>
    </row>
    <row r="264" spans="3:4" x14ac:dyDescent="0.25">
      <c r="C264"/>
      <c r="D264"/>
    </row>
    <row r="265" spans="3:4" x14ac:dyDescent="0.25">
      <c r="C265"/>
      <c r="D265"/>
    </row>
    <row r="266" spans="3:4" x14ac:dyDescent="0.25">
      <c r="C266"/>
      <c r="D266"/>
    </row>
    <row r="267" spans="3:4" x14ac:dyDescent="0.25">
      <c r="C267"/>
      <c r="D267"/>
    </row>
    <row r="268" spans="3:4" x14ac:dyDescent="0.25">
      <c r="C268"/>
      <c r="D268"/>
    </row>
    <row r="269" spans="3:4" x14ac:dyDescent="0.25">
      <c r="C269"/>
      <c r="D269"/>
    </row>
    <row r="270" spans="3:4" x14ac:dyDescent="0.25">
      <c r="C270"/>
      <c r="D270"/>
    </row>
    <row r="271" spans="3:4" x14ac:dyDescent="0.25">
      <c r="C271"/>
      <c r="D271"/>
    </row>
    <row r="272" spans="3:4" x14ac:dyDescent="0.25">
      <c r="C272"/>
      <c r="D272"/>
    </row>
    <row r="273" spans="3:4" x14ac:dyDescent="0.25">
      <c r="C273"/>
      <c r="D273"/>
    </row>
    <row r="274" spans="3:4" x14ac:dyDescent="0.25">
      <c r="C274"/>
      <c r="D274"/>
    </row>
    <row r="275" spans="3:4" x14ac:dyDescent="0.25">
      <c r="C275"/>
      <c r="D275"/>
    </row>
    <row r="276" spans="3:4" x14ac:dyDescent="0.25">
      <c r="C276"/>
      <c r="D276"/>
    </row>
    <row r="277" spans="3:4" x14ac:dyDescent="0.25">
      <c r="C277"/>
      <c r="D277"/>
    </row>
    <row r="278" spans="3:4" x14ac:dyDescent="0.25">
      <c r="C278"/>
      <c r="D278"/>
    </row>
    <row r="279" spans="3:4" x14ac:dyDescent="0.25">
      <c r="C279"/>
      <c r="D279"/>
    </row>
    <row r="280" spans="3:4" x14ac:dyDescent="0.25">
      <c r="C280"/>
      <c r="D280"/>
    </row>
    <row r="281" spans="3:4" x14ac:dyDescent="0.25">
      <c r="C281"/>
      <c r="D281"/>
    </row>
    <row r="282" spans="3:4" x14ac:dyDescent="0.25">
      <c r="C282"/>
      <c r="D282"/>
    </row>
    <row r="283" spans="3:4" x14ac:dyDescent="0.25">
      <c r="C283"/>
      <c r="D283"/>
    </row>
    <row r="284" spans="3:4" x14ac:dyDescent="0.25">
      <c r="C284"/>
      <c r="D284"/>
    </row>
    <row r="285" spans="3:4" x14ac:dyDescent="0.25">
      <c r="C285"/>
      <c r="D285"/>
    </row>
    <row r="286" spans="3:4" x14ac:dyDescent="0.25">
      <c r="C286"/>
      <c r="D286"/>
    </row>
    <row r="287" spans="3:4" x14ac:dyDescent="0.25">
      <c r="C287"/>
      <c r="D287"/>
    </row>
    <row r="288" spans="3:4" x14ac:dyDescent="0.25">
      <c r="C288"/>
      <c r="D288"/>
    </row>
    <row r="289" spans="3:4" x14ac:dyDescent="0.25">
      <c r="C289"/>
      <c r="D289"/>
    </row>
    <row r="290" spans="3:4" x14ac:dyDescent="0.25">
      <c r="C290"/>
      <c r="D290"/>
    </row>
    <row r="291" spans="3:4" x14ac:dyDescent="0.25">
      <c r="C291"/>
      <c r="D291"/>
    </row>
    <row r="292" spans="3:4" x14ac:dyDescent="0.25">
      <c r="C292"/>
      <c r="D292"/>
    </row>
    <row r="293" spans="3:4" x14ac:dyDescent="0.25">
      <c r="C293"/>
      <c r="D293"/>
    </row>
    <row r="294" spans="3:4" x14ac:dyDescent="0.25">
      <c r="C294"/>
      <c r="D294"/>
    </row>
    <row r="295" spans="3:4" x14ac:dyDescent="0.25">
      <c r="C295"/>
      <c r="D295"/>
    </row>
    <row r="296" spans="3:4" x14ac:dyDescent="0.25">
      <c r="C296"/>
      <c r="D296"/>
    </row>
    <row r="297" spans="3:4" x14ac:dyDescent="0.25">
      <c r="C297"/>
      <c r="D297"/>
    </row>
    <row r="298" spans="3:4" x14ac:dyDescent="0.25">
      <c r="C298"/>
      <c r="D298"/>
    </row>
    <row r="299" spans="3:4" x14ac:dyDescent="0.25">
      <c r="C299"/>
      <c r="D299"/>
    </row>
    <row r="300" spans="3:4" x14ac:dyDescent="0.25">
      <c r="C300"/>
      <c r="D300"/>
    </row>
    <row r="301" spans="3:4" x14ac:dyDescent="0.25">
      <c r="C301"/>
      <c r="D301"/>
    </row>
    <row r="302" spans="3:4" x14ac:dyDescent="0.25">
      <c r="C302"/>
      <c r="D302"/>
    </row>
    <row r="303" spans="3:4" x14ac:dyDescent="0.25">
      <c r="C303"/>
      <c r="D303"/>
    </row>
    <row r="304" spans="3:4" x14ac:dyDescent="0.25">
      <c r="C304"/>
      <c r="D304"/>
    </row>
    <row r="305" spans="3:4" x14ac:dyDescent="0.25">
      <c r="C305"/>
      <c r="D305"/>
    </row>
    <row r="306" spans="3:4" x14ac:dyDescent="0.25">
      <c r="C306"/>
      <c r="D306"/>
    </row>
    <row r="307" spans="3:4" x14ac:dyDescent="0.25">
      <c r="C307"/>
      <c r="D307"/>
    </row>
    <row r="308" spans="3:4" x14ac:dyDescent="0.25">
      <c r="C308"/>
      <c r="D308"/>
    </row>
    <row r="309" spans="3:4" x14ac:dyDescent="0.25">
      <c r="C309"/>
      <c r="D309"/>
    </row>
    <row r="310" spans="3:4" x14ac:dyDescent="0.25">
      <c r="C310"/>
      <c r="D310"/>
    </row>
    <row r="311" spans="3:4" x14ac:dyDescent="0.25">
      <c r="C311"/>
      <c r="D311"/>
    </row>
    <row r="312" spans="3:4" x14ac:dyDescent="0.25">
      <c r="C312"/>
      <c r="D312"/>
    </row>
    <row r="313" spans="3:4" x14ac:dyDescent="0.25">
      <c r="C313"/>
      <c r="D313"/>
    </row>
    <row r="314" spans="3:4" x14ac:dyDescent="0.25">
      <c r="C314"/>
      <c r="D314"/>
    </row>
    <row r="315" spans="3:4" x14ac:dyDescent="0.25">
      <c r="C315"/>
      <c r="D315"/>
    </row>
    <row r="316" spans="3:4" x14ac:dyDescent="0.25">
      <c r="C316"/>
      <c r="D316"/>
    </row>
    <row r="317" spans="3:4" x14ac:dyDescent="0.25">
      <c r="C317"/>
      <c r="D317"/>
    </row>
    <row r="318" spans="3:4" x14ac:dyDescent="0.25">
      <c r="C318"/>
      <c r="D318"/>
    </row>
    <row r="319" spans="3:4" x14ac:dyDescent="0.25">
      <c r="C319"/>
      <c r="D319"/>
    </row>
    <row r="320" spans="3:4" x14ac:dyDescent="0.25">
      <c r="C320"/>
      <c r="D320"/>
    </row>
    <row r="321" spans="3:4" x14ac:dyDescent="0.25">
      <c r="C321"/>
      <c r="D321"/>
    </row>
    <row r="322" spans="3:4" x14ac:dyDescent="0.25">
      <c r="C322"/>
      <c r="D322"/>
    </row>
    <row r="323" spans="3:4" x14ac:dyDescent="0.25">
      <c r="C323"/>
      <c r="D323"/>
    </row>
    <row r="324" spans="3:4" x14ac:dyDescent="0.25">
      <c r="C324"/>
      <c r="D324"/>
    </row>
    <row r="325" spans="3:4" x14ac:dyDescent="0.25">
      <c r="C325"/>
      <c r="D325"/>
    </row>
    <row r="326" spans="3:4" x14ac:dyDescent="0.25">
      <c r="C326"/>
      <c r="D326"/>
    </row>
    <row r="327" spans="3:4" x14ac:dyDescent="0.25">
      <c r="C327"/>
      <c r="D327"/>
    </row>
    <row r="328" spans="3:4" x14ac:dyDescent="0.25">
      <c r="C328"/>
      <c r="D328"/>
    </row>
    <row r="329" spans="3:4" x14ac:dyDescent="0.25">
      <c r="C329"/>
      <c r="D329"/>
    </row>
    <row r="330" spans="3:4" x14ac:dyDescent="0.25">
      <c r="C330"/>
      <c r="D330"/>
    </row>
    <row r="331" spans="3:4" x14ac:dyDescent="0.25">
      <c r="C331"/>
      <c r="D331"/>
    </row>
    <row r="332" spans="3:4" x14ac:dyDescent="0.25">
      <c r="C332"/>
      <c r="D332"/>
    </row>
    <row r="333" spans="3:4" x14ac:dyDescent="0.25">
      <c r="C333"/>
      <c r="D333"/>
    </row>
    <row r="334" spans="3:4" x14ac:dyDescent="0.25">
      <c r="C334"/>
      <c r="D334"/>
    </row>
    <row r="335" spans="3:4" x14ac:dyDescent="0.25">
      <c r="C335"/>
      <c r="D335"/>
    </row>
    <row r="336" spans="3:4" x14ac:dyDescent="0.25">
      <c r="C336"/>
      <c r="D336"/>
    </row>
    <row r="337" spans="3:4" x14ac:dyDescent="0.25">
      <c r="C337"/>
      <c r="D337"/>
    </row>
    <row r="338" spans="3:4" x14ac:dyDescent="0.25">
      <c r="C338"/>
      <c r="D338"/>
    </row>
    <row r="339" spans="3:4" x14ac:dyDescent="0.25">
      <c r="C339"/>
      <c r="D339"/>
    </row>
    <row r="340" spans="3:4" x14ac:dyDescent="0.25">
      <c r="C340"/>
      <c r="D340"/>
    </row>
    <row r="341" spans="3:4" x14ac:dyDescent="0.25">
      <c r="C341"/>
      <c r="D341"/>
    </row>
    <row r="342" spans="3:4" x14ac:dyDescent="0.25">
      <c r="C342"/>
      <c r="D342"/>
    </row>
    <row r="343" spans="3:4" x14ac:dyDescent="0.25">
      <c r="C343"/>
      <c r="D343"/>
    </row>
    <row r="344" spans="3:4" x14ac:dyDescent="0.25">
      <c r="C344"/>
      <c r="D344"/>
    </row>
    <row r="345" spans="3:4" x14ac:dyDescent="0.25">
      <c r="C345"/>
      <c r="D345"/>
    </row>
    <row r="346" spans="3:4" x14ac:dyDescent="0.25">
      <c r="C346"/>
      <c r="D346"/>
    </row>
    <row r="347" spans="3:4" x14ac:dyDescent="0.25">
      <c r="C347"/>
      <c r="D347"/>
    </row>
    <row r="348" spans="3:4" x14ac:dyDescent="0.25">
      <c r="C348"/>
      <c r="D348"/>
    </row>
    <row r="349" spans="3:4" x14ac:dyDescent="0.25">
      <c r="C349"/>
      <c r="D349"/>
    </row>
    <row r="350" spans="3:4" x14ac:dyDescent="0.25">
      <c r="C350"/>
      <c r="D350"/>
    </row>
    <row r="351" spans="3:4" x14ac:dyDescent="0.25">
      <c r="C351"/>
      <c r="D351"/>
    </row>
    <row r="352" spans="3:4" x14ac:dyDescent="0.25">
      <c r="C352"/>
      <c r="D352"/>
    </row>
    <row r="353" spans="3:4" x14ac:dyDescent="0.25">
      <c r="C353"/>
      <c r="D353"/>
    </row>
    <row r="354" spans="3:4" x14ac:dyDescent="0.25">
      <c r="C354"/>
      <c r="D354"/>
    </row>
    <row r="355" spans="3:4" x14ac:dyDescent="0.25">
      <c r="C355"/>
      <c r="D355"/>
    </row>
    <row r="356" spans="3:4" x14ac:dyDescent="0.25">
      <c r="C356"/>
      <c r="D356"/>
    </row>
    <row r="357" spans="3:4" x14ac:dyDescent="0.25">
      <c r="C357"/>
      <c r="D357"/>
    </row>
    <row r="358" spans="3:4" x14ac:dyDescent="0.25">
      <c r="C358"/>
      <c r="D358"/>
    </row>
    <row r="359" spans="3:4" x14ac:dyDescent="0.25">
      <c r="C359"/>
      <c r="D359"/>
    </row>
    <row r="360" spans="3:4" x14ac:dyDescent="0.25">
      <c r="C360"/>
      <c r="D360"/>
    </row>
    <row r="361" spans="3:4" x14ac:dyDescent="0.25">
      <c r="C361"/>
      <c r="D361"/>
    </row>
    <row r="362" spans="3:4" x14ac:dyDescent="0.25">
      <c r="C362"/>
      <c r="D362"/>
    </row>
    <row r="363" spans="3:4" x14ac:dyDescent="0.25">
      <c r="C363"/>
      <c r="D363"/>
    </row>
    <row r="364" spans="3:4" x14ac:dyDescent="0.25">
      <c r="C364"/>
      <c r="D364"/>
    </row>
    <row r="365" spans="3:4" x14ac:dyDescent="0.25">
      <c r="C365"/>
      <c r="D365"/>
    </row>
    <row r="366" spans="3:4" x14ac:dyDescent="0.25">
      <c r="C366"/>
      <c r="D366"/>
    </row>
    <row r="367" spans="3:4" x14ac:dyDescent="0.25">
      <c r="C367"/>
      <c r="D367"/>
    </row>
    <row r="368" spans="3:4" x14ac:dyDescent="0.25">
      <c r="C368"/>
      <c r="D368"/>
    </row>
    <row r="369" spans="3:4" x14ac:dyDescent="0.25">
      <c r="C369"/>
      <c r="D369"/>
    </row>
    <row r="370" spans="3:4" x14ac:dyDescent="0.25">
      <c r="C370"/>
      <c r="D370"/>
    </row>
    <row r="371" spans="3:4" x14ac:dyDescent="0.25">
      <c r="C371"/>
      <c r="D371"/>
    </row>
    <row r="372" spans="3:4" x14ac:dyDescent="0.25">
      <c r="C372"/>
      <c r="D372"/>
    </row>
    <row r="373" spans="3:4" x14ac:dyDescent="0.25">
      <c r="C373"/>
      <c r="D373"/>
    </row>
    <row r="374" spans="3:4" x14ac:dyDescent="0.25">
      <c r="C374"/>
      <c r="D374"/>
    </row>
    <row r="375" spans="3:4" x14ac:dyDescent="0.25">
      <c r="C375"/>
      <c r="D375"/>
    </row>
    <row r="376" spans="3:4" x14ac:dyDescent="0.25">
      <c r="C376"/>
      <c r="D376"/>
    </row>
    <row r="377" spans="3:4" x14ac:dyDescent="0.25">
      <c r="C377"/>
      <c r="D377"/>
    </row>
    <row r="378" spans="3:4" x14ac:dyDescent="0.25">
      <c r="C378"/>
      <c r="D378"/>
    </row>
    <row r="379" spans="3:4" x14ac:dyDescent="0.25">
      <c r="C379"/>
      <c r="D379"/>
    </row>
    <row r="380" spans="3:4" x14ac:dyDescent="0.25">
      <c r="C380"/>
      <c r="D380"/>
    </row>
    <row r="381" spans="3:4" x14ac:dyDescent="0.25">
      <c r="C381"/>
      <c r="D381"/>
    </row>
    <row r="382" spans="3:4" x14ac:dyDescent="0.25">
      <c r="C382"/>
      <c r="D382"/>
    </row>
    <row r="383" spans="3:4" x14ac:dyDescent="0.25">
      <c r="C383"/>
      <c r="D383"/>
    </row>
    <row r="384" spans="3:4" x14ac:dyDescent="0.25">
      <c r="C384"/>
      <c r="D384"/>
    </row>
    <row r="385" spans="3:4" x14ac:dyDescent="0.25">
      <c r="C385"/>
      <c r="D385"/>
    </row>
    <row r="386" spans="3:4" x14ac:dyDescent="0.25">
      <c r="C386"/>
      <c r="D386"/>
    </row>
    <row r="387" spans="3:4" x14ac:dyDescent="0.25">
      <c r="C387"/>
      <c r="D387"/>
    </row>
    <row r="388" spans="3:4" x14ac:dyDescent="0.25">
      <c r="C388"/>
      <c r="D388"/>
    </row>
    <row r="389" spans="3:4" x14ac:dyDescent="0.25">
      <c r="C389"/>
      <c r="D389"/>
    </row>
    <row r="390" spans="3:4" x14ac:dyDescent="0.25">
      <c r="C390"/>
      <c r="D390"/>
    </row>
    <row r="391" spans="3:4" x14ac:dyDescent="0.25">
      <c r="C391"/>
      <c r="D391"/>
    </row>
    <row r="392" spans="3:4" x14ac:dyDescent="0.25">
      <c r="C392"/>
      <c r="D392"/>
    </row>
    <row r="393" spans="3:4" x14ac:dyDescent="0.25">
      <c r="C393"/>
      <c r="D393"/>
    </row>
    <row r="394" spans="3:4" x14ac:dyDescent="0.25">
      <c r="C394"/>
      <c r="D394"/>
    </row>
    <row r="395" spans="3:4" x14ac:dyDescent="0.25">
      <c r="C395"/>
      <c r="D395"/>
    </row>
    <row r="396" spans="3:4" x14ac:dyDescent="0.25">
      <c r="C396"/>
      <c r="D396"/>
    </row>
    <row r="397" spans="3:4" x14ac:dyDescent="0.25">
      <c r="C397"/>
      <c r="D397"/>
    </row>
    <row r="398" spans="3:4" x14ac:dyDescent="0.25">
      <c r="C398"/>
      <c r="D398"/>
    </row>
    <row r="399" spans="3:4" x14ac:dyDescent="0.25">
      <c r="C399"/>
      <c r="D399"/>
    </row>
    <row r="400" spans="3:4" x14ac:dyDescent="0.25">
      <c r="C400"/>
      <c r="D400"/>
    </row>
    <row r="401" spans="3:4" x14ac:dyDescent="0.25">
      <c r="C401"/>
      <c r="D401"/>
    </row>
    <row r="402" spans="3:4" x14ac:dyDescent="0.25">
      <c r="C402"/>
      <c r="D402"/>
    </row>
    <row r="403" spans="3:4" x14ac:dyDescent="0.25">
      <c r="C403"/>
      <c r="D403"/>
    </row>
    <row r="404" spans="3:4" x14ac:dyDescent="0.25">
      <c r="C404"/>
      <c r="D404"/>
    </row>
    <row r="405" spans="3:4" x14ac:dyDescent="0.25">
      <c r="C405"/>
      <c r="D405"/>
    </row>
    <row r="406" spans="3:4" x14ac:dyDescent="0.25">
      <c r="C406"/>
      <c r="D406"/>
    </row>
    <row r="407" spans="3:4" x14ac:dyDescent="0.25">
      <c r="C407"/>
      <c r="D407"/>
    </row>
    <row r="408" spans="3:4" x14ac:dyDescent="0.25">
      <c r="C408"/>
      <c r="D408"/>
    </row>
    <row r="409" spans="3:4" x14ac:dyDescent="0.25">
      <c r="C409"/>
      <c r="D409"/>
    </row>
    <row r="410" spans="3:4" x14ac:dyDescent="0.25">
      <c r="C410"/>
      <c r="D410"/>
    </row>
    <row r="411" spans="3:4" x14ac:dyDescent="0.25">
      <c r="C411"/>
      <c r="D411"/>
    </row>
    <row r="412" spans="3:4" x14ac:dyDescent="0.25">
      <c r="C412"/>
      <c r="D412"/>
    </row>
    <row r="413" spans="3:4" x14ac:dyDescent="0.25">
      <c r="C413"/>
      <c r="D413"/>
    </row>
    <row r="414" spans="3:4" x14ac:dyDescent="0.25">
      <c r="C414"/>
      <c r="D414"/>
    </row>
    <row r="415" spans="3:4" x14ac:dyDescent="0.25">
      <c r="C415"/>
      <c r="D415"/>
    </row>
    <row r="416" spans="3:4" x14ac:dyDescent="0.25">
      <c r="C416"/>
      <c r="D416"/>
    </row>
    <row r="417" spans="3:4" x14ac:dyDescent="0.25">
      <c r="C417"/>
      <c r="D417"/>
    </row>
    <row r="418" spans="3:4" x14ac:dyDescent="0.25">
      <c r="C418"/>
      <c r="D418"/>
    </row>
    <row r="419" spans="3:4" x14ac:dyDescent="0.25">
      <c r="C419"/>
      <c r="D419"/>
    </row>
    <row r="420" spans="3:4" x14ac:dyDescent="0.25">
      <c r="C420"/>
      <c r="D420"/>
    </row>
    <row r="421" spans="3:4" x14ac:dyDescent="0.25">
      <c r="C421"/>
      <c r="D421"/>
    </row>
    <row r="422" spans="3:4" x14ac:dyDescent="0.25">
      <c r="C422"/>
      <c r="D422"/>
    </row>
    <row r="423" spans="3:4" x14ac:dyDescent="0.25">
      <c r="C423"/>
      <c r="D423"/>
    </row>
    <row r="424" spans="3:4" x14ac:dyDescent="0.25">
      <c r="C424"/>
      <c r="D424"/>
    </row>
    <row r="425" spans="3:4" x14ac:dyDescent="0.25">
      <c r="C425"/>
      <c r="D425"/>
    </row>
    <row r="426" spans="3:4" x14ac:dyDescent="0.25">
      <c r="C426"/>
      <c r="D426"/>
    </row>
    <row r="427" spans="3:4" x14ac:dyDescent="0.25">
      <c r="C427"/>
      <c r="D427"/>
    </row>
    <row r="428" spans="3:4" x14ac:dyDescent="0.25">
      <c r="C428"/>
      <c r="D428"/>
    </row>
    <row r="429" spans="3:4" x14ac:dyDescent="0.25">
      <c r="C429"/>
      <c r="D429"/>
    </row>
    <row r="430" spans="3:4" x14ac:dyDescent="0.25">
      <c r="C430"/>
      <c r="D430"/>
    </row>
    <row r="431" spans="3:4" x14ac:dyDescent="0.25">
      <c r="C431"/>
      <c r="D431"/>
    </row>
    <row r="432" spans="3:4" x14ac:dyDescent="0.25">
      <c r="C432"/>
      <c r="D432"/>
    </row>
    <row r="433" spans="3:4" x14ac:dyDescent="0.25">
      <c r="C433"/>
      <c r="D433"/>
    </row>
    <row r="434" spans="3:4" x14ac:dyDescent="0.25">
      <c r="C434"/>
      <c r="D434"/>
    </row>
    <row r="435" spans="3:4" x14ac:dyDescent="0.25">
      <c r="C435"/>
      <c r="D435"/>
    </row>
    <row r="436" spans="3:4" x14ac:dyDescent="0.25">
      <c r="C436"/>
      <c r="D436"/>
    </row>
    <row r="437" spans="3:4" x14ac:dyDescent="0.25">
      <c r="C437"/>
      <c r="D437"/>
    </row>
    <row r="438" spans="3:4" x14ac:dyDescent="0.25">
      <c r="C438"/>
      <c r="D438"/>
    </row>
    <row r="439" spans="3:4" x14ac:dyDescent="0.25">
      <c r="C439"/>
      <c r="D439"/>
    </row>
    <row r="440" spans="3:4" x14ac:dyDescent="0.25">
      <c r="C440"/>
      <c r="D440"/>
    </row>
    <row r="441" spans="3:4" x14ac:dyDescent="0.25">
      <c r="C441"/>
      <c r="D441"/>
    </row>
    <row r="442" spans="3:4" x14ac:dyDescent="0.25">
      <c r="C442"/>
      <c r="D442"/>
    </row>
    <row r="443" spans="3:4" x14ac:dyDescent="0.25">
      <c r="C443"/>
      <c r="D443"/>
    </row>
    <row r="444" spans="3:4" x14ac:dyDescent="0.25">
      <c r="C444"/>
      <c r="D444"/>
    </row>
    <row r="445" spans="3:4" x14ac:dyDescent="0.25">
      <c r="C445"/>
      <c r="D445"/>
    </row>
    <row r="446" spans="3:4" x14ac:dyDescent="0.25">
      <c r="C446"/>
      <c r="D446"/>
    </row>
    <row r="447" spans="3:4" x14ac:dyDescent="0.25">
      <c r="C447"/>
      <c r="D447"/>
    </row>
    <row r="448" spans="3:4" x14ac:dyDescent="0.25">
      <c r="C448"/>
      <c r="D448"/>
    </row>
    <row r="449" spans="3:4" x14ac:dyDescent="0.25">
      <c r="C449"/>
      <c r="D449"/>
    </row>
    <row r="450" spans="3:4" x14ac:dyDescent="0.25">
      <c r="C450"/>
      <c r="D450"/>
    </row>
    <row r="451" spans="3:4" x14ac:dyDescent="0.25">
      <c r="C451"/>
      <c r="D451"/>
    </row>
    <row r="452" spans="3:4" x14ac:dyDescent="0.25">
      <c r="C452"/>
      <c r="D452"/>
    </row>
    <row r="453" spans="3:4" x14ac:dyDescent="0.25">
      <c r="C453"/>
      <c r="D453"/>
    </row>
    <row r="454" spans="3:4" x14ac:dyDescent="0.25">
      <c r="C454"/>
      <c r="D454"/>
    </row>
    <row r="455" spans="3:4" x14ac:dyDescent="0.25">
      <c r="C455"/>
      <c r="D455"/>
    </row>
    <row r="456" spans="3:4" x14ac:dyDescent="0.25">
      <c r="C456"/>
      <c r="D456"/>
    </row>
    <row r="457" spans="3:4" x14ac:dyDescent="0.25">
      <c r="C457"/>
      <c r="D457"/>
    </row>
    <row r="458" spans="3:4" x14ac:dyDescent="0.25">
      <c r="C458"/>
      <c r="D458"/>
    </row>
    <row r="459" spans="3:4" x14ac:dyDescent="0.25">
      <c r="C459"/>
      <c r="D459"/>
    </row>
    <row r="460" spans="3:4" x14ac:dyDescent="0.25">
      <c r="C460"/>
      <c r="D460"/>
    </row>
    <row r="461" spans="3:4" x14ac:dyDescent="0.25">
      <c r="C461"/>
      <c r="D461"/>
    </row>
    <row r="462" spans="3:4" x14ac:dyDescent="0.25">
      <c r="C462"/>
      <c r="D462"/>
    </row>
    <row r="463" spans="3:4" x14ac:dyDescent="0.25">
      <c r="C463"/>
      <c r="D463"/>
    </row>
    <row r="464" spans="3:4" x14ac:dyDescent="0.25">
      <c r="C464"/>
      <c r="D464"/>
    </row>
    <row r="465" spans="3:4" x14ac:dyDescent="0.25">
      <c r="C465"/>
      <c r="D465"/>
    </row>
    <row r="466" spans="3:4" x14ac:dyDescent="0.25">
      <c r="C466"/>
      <c r="D466"/>
    </row>
    <row r="467" spans="3:4" x14ac:dyDescent="0.25">
      <c r="C467"/>
      <c r="D467"/>
    </row>
    <row r="468" spans="3:4" x14ac:dyDescent="0.25">
      <c r="C468"/>
      <c r="D468"/>
    </row>
    <row r="469" spans="3:4" x14ac:dyDescent="0.25">
      <c r="C469"/>
      <c r="D469"/>
    </row>
    <row r="470" spans="3:4" x14ac:dyDescent="0.25">
      <c r="C470"/>
      <c r="D470"/>
    </row>
    <row r="471" spans="3:4" x14ac:dyDescent="0.25">
      <c r="C471"/>
      <c r="D471"/>
    </row>
    <row r="472" spans="3:4" x14ac:dyDescent="0.25">
      <c r="C472"/>
      <c r="D472"/>
    </row>
    <row r="473" spans="3:4" x14ac:dyDescent="0.25">
      <c r="C473"/>
      <c r="D473"/>
    </row>
    <row r="474" spans="3:4" x14ac:dyDescent="0.25">
      <c r="C474"/>
      <c r="D474"/>
    </row>
    <row r="475" spans="3:4" x14ac:dyDescent="0.25">
      <c r="C475"/>
      <c r="D475"/>
    </row>
    <row r="476" spans="3:4" x14ac:dyDescent="0.25">
      <c r="C476"/>
      <c r="D476"/>
    </row>
    <row r="477" spans="3:4" x14ac:dyDescent="0.25">
      <c r="C477"/>
      <c r="D477"/>
    </row>
    <row r="478" spans="3:4" x14ac:dyDescent="0.25">
      <c r="C478"/>
      <c r="D478"/>
    </row>
    <row r="479" spans="3:4" x14ac:dyDescent="0.25">
      <c r="C479"/>
      <c r="D479"/>
    </row>
    <row r="480" spans="3:4" x14ac:dyDescent="0.25">
      <c r="C480"/>
      <c r="D480"/>
    </row>
    <row r="481" spans="3:4" x14ac:dyDescent="0.25">
      <c r="C481"/>
      <c r="D481"/>
    </row>
    <row r="482" spans="3:4" x14ac:dyDescent="0.25">
      <c r="C482"/>
      <c r="D482"/>
    </row>
    <row r="483" spans="3:4" x14ac:dyDescent="0.25">
      <c r="C483"/>
      <c r="D483"/>
    </row>
    <row r="484" spans="3:4" x14ac:dyDescent="0.25">
      <c r="C484"/>
      <c r="D484"/>
    </row>
    <row r="485" spans="3:4" x14ac:dyDescent="0.25">
      <c r="C485"/>
      <c r="D485"/>
    </row>
    <row r="486" spans="3:4" x14ac:dyDescent="0.25">
      <c r="C486"/>
      <c r="D486"/>
    </row>
    <row r="487" spans="3:4" x14ac:dyDescent="0.25">
      <c r="C487"/>
      <c r="D487"/>
    </row>
    <row r="488" spans="3:4" x14ac:dyDescent="0.25">
      <c r="C488"/>
      <c r="D488"/>
    </row>
    <row r="489" spans="3:4" x14ac:dyDescent="0.25">
      <c r="C489"/>
      <c r="D489"/>
    </row>
    <row r="490" spans="3:4" x14ac:dyDescent="0.25">
      <c r="C490"/>
      <c r="D490"/>
    </row>
    <row r="491" spans="3:4" x14ac:dyDescent="0.25">
      <c r="C491"/>
      <c r="D491"/>
    </row>
    <row r="492" spans="3:4" x14ac:dyDescent="0.25">
      <c r="C492"/>
      <c r="D492"/>
    </row>
    <row r="493" spans="3:4" x14ac:dyDescent="0.25">
      <c r="C493"/>
      <c r="D493"/>
    </row>
    <row r="494" spans="3:4" x14ac:dyDescent="0.25">
      <c r="C494"/>
      <c r="D494"/>
    </row>
    <row r="495" spans="3:4" x14ac:dyDescent="0.25">
      <c r="C495"/>
      <c r="D495"/>
    </row>
    <row r="496" spans="3:4" x14ac:dyDescent="0.25">
      <c r="C496"/>
      <c r="D496"/>
    </row>
    <row r="497" spans="3:4" x14ac:dyDescent="0.25">
      <c r="C497"/>
      <c r="D497"/>
    </row>
    <row r="498" spans="3:4" x14ac:dyDescent="0.25">
      <c r="C498"/>
      <c r="D498"/>
    </row>
    <row r="499" spans="3:4" x14ac:dyDescent="0.25">
      <c r="C499"/>
      <c r="D499"/>
    </row>
    <row r="500" spans="3:4" x14ac:dyDescent="0.25">
      <c r="C500"/>
      <c r="D500"/>
    </row>
    <row r="501" spans="3:4" x14ac:dyDescent="0.25">
      <c r="C501"/>
      <c r="D501"/>
    </row>
    <row r="502" spans="3:4" x14ac:dyDescent="0.25">
      <c r="C502"/>
      <c r="D502"/>
    </row>
    <row r="503" spans="3:4" x14ac:dyDescent="0.25">
      <c r="C503"/>
      <c r="D503"/>
    </row>
    <row r="504" spans="3:4" x14ac:dyDescent="0.25">
      <c r="C504"/>
      <c r="D504"/>
    </row>
    <row r="505" spans="3:4" x14ac:dyDescent="0.25">
      <c r="C505"/>
      <c r="D505"/>
    </row>
    <row r="506" spans="3:4" x14ac:dyDescent="0.25">
      <c r="C506"/>
      <c r="D506"/>
    </row>
    <row r="507" spans="3:4" x14ac:dyDescent="0.25">
      <c r="C507"/>
      <c r="D507"/>
    </row>
    <row r="508" spans="3:4" x14ac:dyDescent="0.25">
      <c r="C508"/>
      <c r="D508"/>
    </row>
    <row r="509" spans="3:4" x14ac:dyDescent="0.25">
      <c r="C509"/>
      <c r="D509"/>
    </row>
    <row r="510" spans="3:4" x14ac:dyDescent="0.25">
      <c r="C510"/>
      <c r="D510"/>
    </row>
    <row r="511" spans="3:4" x14ac:dyDescent="0.25">
      <c r="C511"/>
      <c r="D511"/>
    </row>
    <row r="512" spans="3:4" x14ac:dyDescent="0.25">
      <c r="C512"/>
      <c r="D512"/>
    </row>
    <row r="513" spans="3:4" x14ac:dyDescent="0.25">
      <c r="C513"/>
      <c r="D513"/>
    </row>
    <row r="514" spans="3:4" x14ac:dyDescent="0.25">
      <c r="C514"/>
      <c r="D514"/>
    </row>
    <row r="515" spans="3:4" x14ac:dyDescent="0.25">
      <c r="C515"/>
      <c r="D515"/>
    </row>
    <row r="516" spans="3:4" x14ac:dyDescent="0.25">
      <c r="C516"/>
      <c r="D516"/>
    </row>
    <row r="517" spans="3:4" x14ac:dyDescent="0.25">
      <c r="C517"/>
      <c r="D517"/>
    </row>
    <row r="518" spans="3:4" x14ac:dyDescent="0.25">
      <c r="C518"/>
      <c r="D518"/>
    </row>
    <row r="519" spans="3:4" x14ac:dyDescent="0.25">
      <c r="C519"/>
      <c r="D519"/>
    </row>
    <row r="520" spans="3:4" x14ac:dyDescent="0.25">
      <c r="C520"/>
      <c r="D520"/>
    </row>
    <row r="521" spans="3:4" x14ac:dyDescent="0.25">
      <c r="C521"/>
      <c r="D521"/>
    </row>
    <row r="522" spans="3:4" x14ac:dyDescent="0.25">
      <c r="C522"/>
      <c r="D522"/>
    </row>
    <row r="523" spans="3:4" x14ac:dyDescent="0.25">
      <c r="C523"/>
      <c r="D523"/>
    </row>
    <row r="524" spans="3:4" x14ac:dyDescent="0.25">
      <c r="C524"/>
      <c r="D524"/>
    </row>
    <row r="525" spans="3:4" x14ac:dyDescent="0.25">
      <c r="C525"/>
      <c r="D525"/>
    </row>
    <row r="526" spans="3:4" x14ac:dyDescent="0.25">
      <c r="C526"/>
      <c r="D526"/>
    </row>
    <row r="527" spans="3:4" x14ac:dyDescent="0.25">
      <c r="C527"/>
      <c r="D527"/>
    </row>
    <row r="528" spans="3:4" x14ac:dyDescent="0.25">
      <c r="C528"/>
      <c r="D528"/>
    </row>
    <row r="529" spans="3:4" x14ac:dyDescent="0.25">
      <c r="C529"/>
      <c r="D529"/>
    </row>
    <row r="530" spans="3:4" x14ac:dyDescent="0.25">
      <c r="C530"/>
      <c r="D530"/>
    </row>
    <row r="531" spans="3:4" x14ac:dyDescent="0.25">
      <c r="C531"/>
      <c r="D531"/>
    </row>
    <row r="532" spans="3:4" x14ac:dyDescent="0.25">
      <c r="C532"/>
      <c r="D532"/>
    </row>
    <row r="533" spans="3:4" x14ac:dyDescent="0.25">
      <c r="C533"/>
      <c r="D533"/>
    </row>
    <row r="534" spans="3:4" x14ac:dyDescent="0.25">
      <c r="C534"/>
      <c r="D534"/>
    </row>
    <row r="535" spans="3:4" x14ac:dyDescent="0.25">
      <c r="C535"/>
      <c r="D535"/>
    </row>
    <row r="536" spans="3:4" x14ac:dyDescent="0.25">
      <c r="C536"/>
      <c r="D536"/>
    </row>
    <row r="537" spans="3:4" x14ac:dyDescent="0.25">
      <c r="C537"/>
      <c r="D537"/>
    </row>
    <row r="538" spans="3:4" x14ac:dyDescent="0.25">
      <c r="C538"/>
      <c r="D538"/>
    </row>
    <row r="539" spans="3:4" x14ac:dyDescent="0.25">
      <c r="C539"/>
      <c r="D539"/>
    </row>
    <row r="540" spans="3:4" x14ac:dyDescent="0.25">
      <c r="C540"/>
      <c r="D540"/>
    </row>
    <row r="541" spans="3:4" x14ac:dyDescent="0.25">
      <c r="C541"/>
      <c r="D541"/>
    </row>
    <row r="542" spans="3:4" x14ac:dyDescent="0.25">
      <c r="C542"/>
      <c r="D542"/>
    </row>
    <row r="543" spans="3:4" x14ac:dyDescent="0.25">
      <c r="C543"/>
      <c r="D543"/>
    </row>
    <row r="544" spans="3:4" x14ac:dyDescent="0.25">
      <c r="C544"/>
      <c r="D544"/>
    </row>
    <row r="545" spans="3:4" x14ac:dyDescent="0.25">
      <c r="C545"/>
      <c r="D545"/>
    </row>
    <row r="546" spans="3:4" x14ac:dyDescent="0.25">
      <c r="C546"/>
      <c r="D546"/>
    </row>
    <row r="547" spans="3:4" x14ac:dyDescent="0.25">
      <c r="C547"/>
      <c r="D547"/>
    </row>
    <row r="548" spans="3:4" x14ac:dyDescent="0.25">
      <c r="C548"/>
      <c r="D548"/>
    </row>
    <row r="549" spans="3:4" x14ac:dyDescent="0.25">
      <c r="C549"/>
      <c r="D549"/>
    </row>
    <row r="550" spans="3:4" x14ac:dyDescent="0.25">
      <c r="C550"/>
      <c r="D550"/>
    </row>
    <row r="551" spans="3:4" x14ac:dyDescent="0.25">
      <c r="C551"/>
      <c r="D551"/>
    </row>
    <row r="552" spans="3:4" x14ac:dyDescent="0.25">
      <c r="C552"/>
      <c r="D552"/>
    </row>
    <row r="553" spans="3:4" x14ac:dyDescent="0.25">
      <c r="C553"/>
      <c r="D553"/>
    </row>
    <row r="554" spans="3:4" x14ac:dyDescent="0.25">
      <c r="C554"/>
      <c r="D554"/>
    </row>
    <row r="555" spans="3:4" x14ac:dyDescent="0.25">
      <c r="C555"/>
      <c r="D555"/>
    </row>
    <row r="556" spans="3:4" x14ac:dyDescent="0.25">
      <c r="C556"/>
      <c r="D556"/>
    </row>
    <row r="557" spans="3:4" x14ac:dyDescent="0.25">
      <c r="C557"/>
      <c r="D557"/>
    </row>
    <row r="558" spans="3:4" x14ac:dyDescent="0.25">
      <c r="C558"/>
      <c r="D558"/>
    </row>
    <row r="559" spans="3:4" x14ac:dyDescent="0.25">
      <c r="C559"/>
      <c r="D559"/>
    </row>
    <row r="560" spans="3:4" x14ac:dyDescent="0.25">
      <c r="C560"/>
      <c r="D560"/>
    </row>
    <row r="561" spans="3:4" x14ac:dyDescent="0.25">
      <c r="C561"/>
      <c r="D561"/>
    </row>
    <row r="562" spans="3:4" x14ac:dyDescent="0.25">
      <c r="C562"/>
      <c r="D562"/>
    </row>
    <row r="563" spans="3:4" x14ac:dyDescent="0.25">
      <c r="C563"/>
      <c r="D563"/>
    </row>
    <row r="564" spans="3:4" x14ac:dyDescent="0.25">
      <c r="C564"/>
      <c r="D564"/>
    </row>
    <row r="565" spans="3:4" x14ac:dyDescent="0.25">
      <c r="C565"/>
      <c r="D565"/>
    </row>
    <row r="566" spans="3:4" x14ac:dyDescent="0.25">
      <c r="C566"/>
      <c r="D566"/>
    </row>
    <row r="567" spans="3:4" x14ac:dyDescent="0.25">
      <c r="C567"/>
      <c r="D567"/>
    </row>
    <row r="568" spans="3:4" x14ac:dyDescent="0.25">
      <c r="C568"/>
      <c r="D568"/>
    </row>
    <row r="569" spans="3:4" x14ac:dyDescent="0.25">
      <c r="C569"/>
      <c r="D569"/>
    </row>
    <row r="570" spans="3:4" x14ac:dyDescent="0.25">
      <c r="C570"/>
      <c r="D570"/>
    </row>
    <row r="571" spans="3:4" x14ac:dyDescent="0.25">
      <c r="C571"/>
      <c r="D571"/>
    </row>
    <row r="572" spans="3:4" x14ac:dyDescent="0.25">
      <c r="C572"/>
      <c r="D572"/>
    </row>
    <row r="573" spans="3:4" x14ac:dyDescent="0.25">
      <c r="C573"/>
      <c r="D573"/>
    </row>
    <row r="574" spans="3:4" x14ac:dyDescent="0.25">
      <c r="C574"/>
      <c r="D574"/>
    </row>
    <row r="575" spans="3:4" x14ac:dyDescent="0.25">
      <c r="C575"/>
      <c r="D575"/>
    </row>
    <row r="576" spans="3:4" x14ac:dyDescent="0.25">
      <c r="C576"/>
      <c r="D576"/>
    </row>
    <row r="577" spans="3:4" x14ac:dyDescent="0.25">
      <c r="C577"/>
      <c r="D577"/>
    </row>
    <row r="578" spans="3:4" x14ac:dyDescent="0.25">
      <c r="C578"/>
      <c r="D578"/>
    </row>
    <row r="579" spans="3:4" x14ac:dyDescent="0.25">
      <c r="C579"/>
      <c r="D579"/>
    </row>
    <row r="580" spans="3:4" x14ac:dyDescent="0.25">
      <c r="C580"/>
      <c r="D580"/>
    </row>
    <row r="581" spans="3:4" x14ac:dyDescent="0.25">
      <c r="C581"/>
      <c r="D581"/>
    </row>
    <row r="582" spans="3:4" x14ac:dyDescent="0.25">
      <c r="C582"/>
      <c r="D582"/>
    </row>
    <row r="583" spans="3:4" x14ac:dyDescent="0.25">
      <c r="C583"/>
      <c r="D583"/>
    </row>
    <row r="584" spans="3:4" x14ac:dyDescent="0.25">
      <c r="C584"/>
      <c r="D584"/>
    </row>
    <row r="585" spans="3:4" x14ac:dyDescent="0.25">
      <c r="C585"/>
      <c r="D585"/>
    </row>
    <row r="586" spans="3:4" x14ac:dyDescent="0.25">
      <c r="C586"/>
      <c r="D586"/>
    </row>
    <row r="587" spans="3:4" x14ac:dyDescent="0.25">
      <c r="C587"/>
      <c r="D587"/>
    </row>
    <row r="588" spans="3:4" x14ac:dyDescent="0.25">
      <c r="C588"/>
      <c r="D588"/>
    </row>
    <row r="589" spans="3:4" x14ac:dyDescent="0.25">
      <c r="C589"/>
      <c r="D589"/>
    </row>
    <row r="590" spans="3:4" x14ac:dyDescent="0.25">
      <c r="C590"/>
      <c r="D590"/>
    </row>
    <row r="591" spans="3:4" x14ac:dyDescent="0.25">
      <c r="C591"/>
      <c r="D591"/>
    </row>
    <row r="592" spans="3:4" x14ac:dyDescent="0.25">
      <c r="C592"/>
      <c r="D592"/>
    </row>
    <row r="593" spans="3:4" x14ac:dyDescent="0.25">
      <c r="C593"/>
      <c r="D593"/>
    </row>
    <row r="594" spans="3:4" x14ac:dyDescent="0.25">
      <c r="C594"/>
      <c r="D594"/>
    </row>
    <row r="595" spans="3:4" x14ac:dyDescent="0.25">
      <c r="C595"/>
      <c r="D595"/>
    </row>
    <row r="596" spans="3:4" x14ac:dyDescent="0.25">
      <c r="C596"/>
      <c r="D596"/>
    </row>
    <row r="597" spans="3:4" x14ac:dyDescent="0.25">
      <c r="C597"/>
      <c r="D597"/>
    </row>
    <row r="598" spans="3:4" x14ac:dyDescent="0.25">
      <c r="C598"/>
      <c r="D598"/>
    </row>
    <row r="599" spans="3:4" x14ac:dyDescent="0.25">
      <c r="C599"/>
      <c r="D599"/>
    </row>
    <row r="600" spans="3:4" x14ac:dyDescent="0.25">
      <c r="C600"/>
      <c r="D600"/>
    </row>
    <row r="601" spans="3:4" x14ac:dyDescent="0.25">
      <c r="C601"/>
      <c r="D601"/>
    </row>
    <row r="602" spans="3:4" x14ac:dyDescent="0.25">
      <c r="C602"/>
      <c r="D602"/>
    </row>
    <row r="603" spans="3:4" x14ac:dyDescent="0.25">
      <c r="C603"/>
      <c r="D603"/>
    </row>
    <row r="604" spans="3:4" x14ac:dyDescent="0.25">
      <c r="C604"/>
      <c r="D604"/>
    </row>
    <row r="605" spans="3:4" x14ac:dyDescent="0.25">
      <c r="C605"/>
      <c r="D605"/>
    </row>
    <row r="606" spans="3:4" x14ac:dyDescent="0.25">
      <c r="C606"/>
      <c r="D606"/>
    </row>
    <row r="607" spans="3:4" x14ac:dyDescent="0.25">
      <c r="C607"/>
      <c r="D607"/>
    </row>
    <row r="608" spans="3:4" x14ac:dyDescent="0.25">
      <c r="C608"/>
      <c r="D608"/>
    </row>
    <row r="609" spans="3:4" x14ac:dyDescent="0.25">
      <c r="C609"/>
      <c r="D609"/>
    </row>
    <row r="610" spans="3:4" x14ac:dyDescent="0.25">
      <c r="C610"/>
      <c r="D610"/>
    </row>
    <row r="611" spans="3:4" x14ac:dyDescent="0.25">
      <c r="C611"/>
      <c r="D611"/>
    </row>
    <row r="612" spans="3:4" x14ac:dyDescent="0.25">
      <c r="C612"/>
      <c r="D612"/>
    </row>
    <row r="613" spans="3:4" x14ac:dyDescent="0.25">
      <c r="C613"/>
      <c r="D613"/>
    </row>
    <row r="614" spans="3:4" x14ac:dyDescent="0.25">
      <c r="C614"/>
      <c r="D614"/>
    </row>
    <row r="615" spans="3:4" x14ac:dyDescent="0.25">
      <c r="C615"/>
      <c r="D615"/>
    </row>
    <row r="616" spans="3:4" x14ac:dyDescent="0.25">
      <c r="C616"/>
      <c r="D616"/>
    </row>
    <row r="617" spans="3:4" x14ac:dyDescent="0.25">
      <c r="C617"/>
      <c r="D617"/>
    </row>
    <row r="618" spans="3:4" x14ac:dyDescent="0.25">
      <c r="C618"/>
      <c r="D618"/>
    </row>
    <row r="619" spans="3:4" x14ac:dyDescent="0.25">
      <c r="C619"/>
      <c r="D619"/>
    </row>
    <row r="620" spans="3:4" x14ac:dyDescent="0.25">
      <c r="C620"/>
      <c r="D620"/>
    </row>
    <row r="621" spans="3:4" x14ac:dyDescent="0.25">
      <c r="C621"/>
      <c r="D621"/>
    </row>
    <row r="622" spans="3:4" x14ac:dyDescent="0.25">
      <c r="C622"/>
      <c r="D622"/>
    </row>
    <row r="623" spans="3:4" x14ac:dyDescent="0.25">
      <c r="C623"/>
      <c r="D623"/>
    </row>
    <row r="624" spans="3:4" x14ac:dyDescent="0.25">
      <c r="C624"/>
      <c r="D624"/>
    </row>
    <row r="625" spans="3:4" x14ac:dyDescent="0.25">
      <c r="C625"/>
      <c r="D625"/>
    </row>
    <row r="626" spans="3:4" x14ac:dyDescent="0.25">
      <c r="C626"/>
      <c r="D626"/>
    </row>
    <row r="627" spans="3:4" x14ac:dyDescent="0.25">
      <c r="C627"/>
      <c r="D627"/>
    </row>
    <row r="628" spans="3:4" x14ac:dyDescent="0.25">
      <c r="C628"/>
      <c r="D628"/>
    </row>
    <row r="629" spans="3:4" x14ac:dyDescent="0.25">
      <c r="C629"/>
      <c r="D629"/>
    </row>
    <row r="630" spans="3:4" x14ac:dyDescent="0.25">
      <c r="C630"/>
      <c r="D630"/>
    </row>
    <row r="631" spans="3:4" x14ac:dyDescent="0.25">
      <c r="C631"/>
      <c r="D631"/>
    </row>
    <row r="632" spans="3:4" x14ac:dyDescent="0.25">
      <c r="C632"/>
      <c r="D632"/>
    </row>
    <row r="633" spans="3:4" x14ac:dyDescent="0.25">
      <c r="C633"/>
      <c r="D633"/>
    </row>
    <row r="634" spans="3:4" x14ac:dyDescent="0.25">
      <c r="C634"/>
      <c r="D634"/>
    </row>
    <row r="635" spans="3:4" x14ac:dyDescent="0.25">
      <c r="C635"/>
      <c r="D635"/>
    </row>
    <row r="636" spans="3:4" x14ac:dyDescent="0.25">
      <c r="C636"/>
      <c r="D636"/>
    </row>
    <row r="637" spans="3:4" x14ac:dyDescent="0.25">
      <c r="C637"/>
      <c r="D637"/>
    </row>
    <row r="638" spans="3:4" x14ac:dyDescent="0.25">
      <c r="C638"/>
      <c r="D638"/>
    </row>
    <row r="639" spans="3:4" x14ac:dyDescent="0.25">
      <c r="C639"/>
      <c r="D639"/>
    </row>
    <row r="640" spans="3:4" x14ac:dyDescent="0.25">
      <c r="C640"/>
      <c r="D640"/>
    </row>
    <row r="641" spans="3:4" x14ac:dyDescent="0.25">
      <c r="C641"/>
      <c r="D641"/>
    </row>
    <row r="642" spans="3:4" x14ac:dyDescent="0.25">
      <c r="C642"/>
      <c r="D642"/>
    </row>
    <row r="643" spans="3:4" x14ac:dyDescent="0.25">
      <c r="C643"/>
      <c r="D643"/>
    </row>
    <row r="644" spans="3:4" x14ac:dyDescent="0.25">
      <c r="C644"/>
      <c r="D644"/>
    </row>
    <row r="645" spans="3:4" x14ac:dyDescent="0.25">
      <c r="C645"/>
      <c r="D645"/>
    </row>
    <row r="646" spans="3:4" x14ac:dyDescent="0.25">
      <c r="C646"/>
      <c r="D646"/>
    </row>
    <row r="647" spans="3:4" x14ac:dyDescent="0.25">
      <c r="C647"/>
      <c r="D647"/>
    </row>
    <row r="648" spans="3:4" x14ac:dyDescent="0.25">
      <c r="C648"/>
      <c r="D648"/>
    </row>
    <row r="649" spans="3:4" x14ac:dyDescent="0.25">
      <c r="C649"/>
      <c r="D649"/>
    </row>
    <row r="650" spans="3:4" x14ac:dyDescent="0.25">
      <c r="C650"/>
      <c r="D650"/>
    </row>
    <row r="651" spans="3:4" x14ac:dyDescent="0.25">
      <c r="C651"/>
      <c r="D651"/>
    </row>
    <row r="652" spans="3:4" x14ac:dyDescent="0.25">
      <c r="C652"/>
      <c r="D652"/>
    </row>
    <row r="653" spans="3:4" x14ac:dyDescent="0.25">
      <c r="C653"/>
      <c r="D653"/>
    </row>
    <row r="654" spans="3:4" x14ac:dyDescent="0.25">
      <c r="C654"/>
      <c r="D654"/>
    </row>
    <row r="655" spans="3:4" x14ac:dyDescent="0.25">
      <c r="C655"/>
      <c r="D655"/>
    </row>
    <row r="656" spans="3:4" x14ac:dyDescent="0.25">
      <c r="C656"/>
      <c r="D656"/>
    </row>
    <row r="657" spans="3:4" x14ac:dyDescent="0.25">
      <c r="C657"/>
      <c r="D657"/>
    </row>
    <row r="658" spans="3:4" x14ac:dyDescent="0.25">
      <c r="C658"/>
      <c r="D658"/>
    </row>
    <row r="659" spans="3:4" x14ac:dyDescent="0.25">
      <c r="C659"/>
      <c r="D659"/>
    </row>
    <row r="660" spans="3:4" x14ac:dyDescent="0.25">
      <c r="C660"/>
      <c r="D660"/>
    </row>
    <row r="661" spans="3:4" x14ac:dyDescent="0.25">
      <c r="C661"/>
      <c r="D661"/>
    </row>
    <row r="662" spans="3:4" x14ac:dyDescent="0.25">
      <c r="C662"/>
      <c r="D662"/>
    </row>
    <row r="663" spans="3:4" x14ac:dyDescent="0.25">
      <c r="C663"/>
      <c r="D663"/>
    </row>
    <row r="664" spans="3:4" x14ac:dyDescent="0.25">
      <c r="C664"/>
      <c r="D664"/>
    </row>
    <row r="665" spans="3:4" x14ac:dyDescent="0.25">
      <c r="C665"/>
      <c r="D665"/>
    </row>
    <row r="666" spans="3:4" x14ac:dyDescent="0.25">
      <c r="C666"/>
      <c r="D666"/>
    </row>
    <row r="667" spans="3:4" x14ac:dyDescent="0.25">
      <c r="C667"/>
      <c r="D667"/>
    </row>
    <row r="668" spans="3:4" x14ac:dyDescent="0.25">
      <c r="C668"/>
      <c r="D668"/>
    </row>
    <row r="669" spans="3:4" x14ac:dyDescent="0.25">
      <c r="C669"/>
      <c r="D669"/>
    </row>
    <row r="670" spans="3:4" x14ac:dyDescent="0.25">
      <c r="C670"/>
      <c r="D670"/>
    </row>
    <row r="671" spans="3:4" x14ac:dyDescent="0.25">
      <c r="C671"/>
      <c r="D671"/>
    </row>
    <row r="672" spans="3:4" x14ac:dyDescent="0.25">
      <c r="C672"/>
      <c r="D672"/>
    </row>
    <row r="673" spans="3:4" x14ac:dyDescent="0.25">
      <c r="C673"/>
      <c r="D673"/>
    </row>
    <row r="674" spans="3:4" x14ac:dyDescent="0.25">
      <c r="C674"/>
      <c r="D674"/>
    </row>
    <row r="675" spans="3:4" x14ac:dyDescent="0.25">
      <c r="C675"/>
      <c r="D675"/>
    </row>
    <row r="676" spans="3:4" x14ac:dyDescent="0.25">
      <c r="C676"/>
      <c r="D676"/>
    </row>
    <row r="677" spans="3:4" x14ac:dyDescent="0.25">
      <c r="C677"/>
      <c r="D677"/>
    </row>
    <row r="678" spans="3:4" x14ac:dyDescent="0.25">
      <c r="C678"/>
      <c r="D678"/>
    </row>
    <row r="679" spans="3:4" x14ac:dyDescent="0.25">
      <c r="C679"/>
      <c r="D679"/>
    </row>
    <row r="680" spans="3:4" x14ac:dyDescent="0.25">
      <c r="C680"/>
      <c r="D680"/>
    </row>
    <row r="681" spans="3:4" x14ac:dyDescent="0.25">
      <c r="C681"/>
      <c r="D681"/>
    </row>
    <row r="682" spans="3:4" x14ac:dyDescent="0.25">
      <c r="C682"/>
      <c r="D682"/>
    </row>
    <row r="683" spans="3:4" x14ac:dyDescent="0.25">
      <c r="C683"/>
      <c r="D683"/>
    </row>
    <row r="684" spans="3:4" x14ac:dyDescent="0.25">
      <c r="C684"/>
      <c r="D684"/>
    </row>
    <row r="685" spans="3:4" x14ac:dyDescent="0.25">
      <c r="C685"/>
      <c r="D685"/>
    </row>
    <row r="686" spans="3:4" x14ac:dyDescent="0.25">
      <c r="C686"/>
      <c r="D686"/>
    </row>
    <row r="687" spans="3:4" x14ac:dyDescent="0.25">
      <c r="C687"/>
      <c r="D687"/>
    </row>
    <row r="688" spans="3:4" x14ac:dyDescent="0.25">
      <c r="C688"/>
      <c r="D688"/>
    </row>
    <row r="689" spans="3:4" x14ac:dyDescent="0.25">
      <c r="C689"/>
      <c r="D689"/>
    </row>
    <row r="690" spans="3:4" x14ac:dyDescent="0.25">
      <c r="C690"/>
      <c r="D690"/>
    </row>
    <row r="691" spans="3:4" x14ac:dyDescent="0.25">
      <c r="C691"/>
      <c r="D691"/>
    </row>
    <row r="692" spans="3:4" x14ac:dyDescent="0.25">
      <c r="C692"/>
      <c r="D692"/>
    </row>
    <row r="693" spans="3:4" x14ac:dyDescent="0.25">
      <c r="C693"/>
      <c r="D693"/>
    </row>
    <row r="694" spans="3:4" x14ac:dyDescent="0.25">
      <c r="C694"/>
      <c r="D694"/>
    </row>
    <row r="695" spans="3:4" x14ac:dyDescent="0.25">
      <c r="C695"/>
      <c r="D695"/>
    </row>
    <row r="696" spans="3:4" x14ac:dyDescent="0.25">
      <c r="C696"/>
      <c r="D696"/>
    </row>
    <row r="697" spans="3:4" x14ac:dyDescent="0.25">
      <c r="C697"/>
      <c r="D697"/>
    </row>
    <row r="698" spans="3:4" x14ac:dyDescent="0.25">
      <c r="C698"/>
      <c r="D698"/>
    </row>
    <row r="699" spans="3:4" x14ac:dyDescent="0.25">
      <c r="C699"/>
      <c r="D699"/>
    </row>
    <row r="700" spans="3:4" x14ac:dyDescent="0.25">
      <c r="C700"/>
      <c r="D700"/>
    </row>
    <row r="701" spans="3:4" x14ac:dyDescent="0.25">
      <c r="C701"/>
      <c r="D701"/>
    </row>
    <row r="702" spans="3:4" x14ac:dyDescent="0.25">
      <c r="C702"/>
      <c r="D702"/>
    </row>
    <row r="703" spans="3:4" x14ac:dyDescent="0.25">
      <c r="C703"/>
      <c r="D703"/>
    </row>
    <row r="704" spans="3:4" x14ac:dyDescent="0.25">
      <c r="C704"/>
      <c r="D704"/>
    </row>
    <row r="705" spans="3:4" x14ac:dyDescent="0.25">
      <c r="C705"/>
      <c r="D705"/>
    </row>
    <row r="706" spans="3:4" x14ac:dyDescent="0.25">
      <c r="C706"/>
      <c r="D706"/>
    </row>
    <row r="707" spans="3:4" x14ac:dyDescent="0.25">
      <c r="C707"/>
      <c r="D707"/>
    </row>
    <row r="708" spans="3:4" x14ac:dyDescent="0.25">
      <c r="C708"/>
      <c r="D708"/>
    </row>
    <row r="709" spans="3:4" x14ac:dyDescent="0.25">
      <c r="C709"/>
      <c r="D709"/>
    </row>
    <row r="710" spans="3:4" x14ac:dyDescent="0.25">
      <c r="C710"/>
      <c r="D710"/>
    </row>
    <row r="711" spans="3:4" x14ac:dyDescent="0.25">
      <c r="C711"/>
      <c r="D711"/>
    </row>
    <row r="712" spans="3:4" x14ac:dyDescent="0.25">
      <c r="C712"/>
      <c r="D712"/>
    </row>
    <row r="713" spans="3:4" x14ac:dyDescent="0.25">
      <c r="C713"/>
      <c r="D713"/>
    </row>
    <row r="714" spans="3:4" x14ac:dyDescent="0.25">
      <c r="C714"/>
      <c r="D714"/>
    </row>
    <row r="715" spans="3:4" x14ac:dyDescent="0.25">
      <c r="C715"/>
      <c r="D715"/>
    </row>
    <row r="716" spans="3:4" x14ac:dyDescent="0.25">
      <c r="C716"/>
      <c r="D716"/>
    </row>
    <row r="717" spans="3:4" x14ac:dyDescent="0.25">
      <c r="C717"/>
      <c r="D717"/>
    </row>
    <row r="718" spans="3:4" x14ac:dyDescent="0.25">
      <c r="C718"/>
      <c r="D718"/>
    </row>
    <row r="719" spans="3:4" x14ac:dyDescent="0.25">
      <c r="C719"/>
      <c r="D719"/>
    </row>
    <row r="720" spans="3:4" x14ac:dyDescent="0.25">
      <c r="C720"/>
      <c r="D720"/>
    </row>
    <row r="721" spans="3:4" x14ac:dyDescent="0.25">
      <c r="C721"/>
      <c r="D721"/>
    </row>
    <row r="722" spans="3:4" x14ac:dyDescent="0.25">
      <c r="C722"/>
      <c r="D722"/>
    </row>
    <row r="723" spans="3:4" x14ac:dyDescent="0.25">
      <c r="C723"/>
      <c r="D723"/>
    </row>
    <row r="724" spans="3:4" x14ac:dyDescent="0.25">
      <c r="C724"/>
      <c r="D724"/>
    </row>
    <row r="725" spans="3:4" x14ac:dyDescent="0.25">
      <c r="C725"/>
      <c r="D725"/>
    </row>
    <row r="726" spans="3:4" x14ac:dyDescent="0.25">
      <c r="C726"/>
      <c r="D726"/>
    </row>
    <row r="727" spans="3:4" x14ac:dyDescent="0.25">
      <c r="C727"/>
      <c r="D727"/>
    </row>
    <row r="728" spans="3:4" x14ac:dyDescent="0.25">
      <c r="C728"/>
      <c r="D728"/>
    </row>
    <row r="729" spans="3:4" x14ac:dyDescent="0.25">
      <c r="C729"/>
      <c r="D729"/>
    </row>
    <row r="730" spans="3:4" x14ac:dyDescent="0.25">
      <c r="C730"/>
      <c r="D730"/>
    </row>
    <row r="731" spans="3:4" x14ac:dyDescent="0.25">
      <c r="C731"/>
      <c r="D731"/>
    </row>
    <row r="732" spans="3:4" x14ac:dyDescent="0.25">
      <c r="C732"/>
      <c r="D732"/>
    </row>
    <row r="733" spans="3:4" x14ac:dyDescent="0.25">
      <c r="C733"/>
      <c r="D733"/>
    </row>
    <row r="734" spans="3:4" x14ac:dyDescent="0.25">
      <c r="C734"/>
      <c r="D734"/>
    </row>
    <row r="735" spans="3:4" x14ac:dyDescent="0.25">
      <c r="C735"/>
      <c r="D735"/>
    </row>
    <row r="736" spans="3:4" x14ac:dyDescent="0.25">
      <c r="C736"/>
      <c r="D736"/>
    </row>
    <row r="737" spans="3:4" x14ac:dyDescent="0.25">
      <c r="C737"/>
      <c r="D737"/>
    </row>
    <row r="738" spans="3:4" x14ac:dyDescent="0.25">
      <c r="C738"/>
      <c r="D738"/>
    </row>
    <row r="739" spans="3:4" x14ac:dyDescent="0.25">
      <c r="C739"/>
      <c r="D739"/>
    </row>
    <row r="740" spans="3:4" x14ac:dyDescent="0.25">
      <c r="C740"/>
      <c r="D740"/>
    </row>
    <row r="741" spans="3:4" x14ac:dyDescent="0.25">
      <c r="C741"/>
      <c r="D741"/>
    </row>
    <row r="742" spans="3:4" x14ac:dyDescent="0.25">
      <c r="C742"/>
      <c r="D742"/>
    </row>
    <row r="743" spans="3:4" x14ac:dyDescent="0.25">
      <c r="C743"/>
      <c r="D743"/>
    </row>
    <row r="744" spans="3:4" x14ac:dyDescent="0.25">
      <c r="C744"/>
      <c r="D744"/>
    </row>
    <row r="745" spans="3:4" x14ac:dyDescent="0.25">
      <c r="C745"/>
      <c r="D745"/>
    </row>
    <row r="746" spans="3:4" x14ac:dyDescent="0.25">
      <c r="C746"/>
      <c r="D746"/>
    </row>
    <row r="747" spans="3:4" x14ac:dyDescent="0.25">
      <c r="C747"/>
      <c r="D747"/>
    </row>
    <row r="748" spans="3:4" x14ac:dyDescent="0.25">
      <c r="C748"/>
      <c r="D748"/>
    </row>
    <row r="749" spans="3:4" x14ac:dyDescent="0.25">
      <c r="C749"/>
      <c r="D749"/>
    </row>
    <row r="750" spans="3:4" x14ac:dyDescent="0.25">
      <c r="C750"/>
      <c r="D750"/>
    </row>
    <row r="751" spans="3:4" x14ac:dyDescent="0.25">
      <c r="C751"/>
      <c r="D751"/>
    </row>
    <row r="752" spans="3:4" x14ac:dyDescent="0.25">
      <c r="C752"/>
      <c r="D752"/>
    </row>
    <row r="753" spans="3:4" x14ac:dyDescent="0.25">
      <c r="C753"/>
      <c r="D753"/>
    </row>
    <row r="754" spans="3:4" x14ac:dyDescent="0.25">
      <c r="C754"/>
      <c r="D754"/>
    </row>
    <row r="755" spans="3:4" x14ac:dyDescent="0.25">
      <c r="C755"/>
      <c r="D755"/>
    </row>
    <row r="756" spans="3:4" x14ac:dyDescent="0.25">
      <c r="C756"/>
      <c r="D756"/>
    </row>
    <row r="757" spans="3:4" x14ac:dyDescent="0.25">
      <c r="C757"/>
      <c r="D757"/>
    </row>
    <row r="758" spans="3:4" x14ac:dyDescent="0.25">
      <c r="C758"/>
      <c r="D758"/>
    </row>
    <row r="759" spans="3:4" x14ac:dyDescent="0.25">
      <c r="C759"/>
      <c r="D759"/>
    </row>
    <row r="760" spans="3:4" x14ac:dyDescent="0.25">
      <c r="C760"/>
      <c r="D760"/>
    </row>
    <row r="761" spans="3:4" x14ac:dyDescent="0.25">
      <c r="C761"/>
      <c r="D761"/>
    </row>
    <row r="762" spans="3:4" x14ac:dyDescent="0.25">
      <c r="C762"/>
      <c r="D762"/>
    </row>
    <row r="763" spans="3:4" x14ac:dyDescent="0.25">
      <c r="C763"/>
      <c r="D763"/>
    </row>
    <row r="764" spans="3:4" x14ac:dyDescent="0.25">
      <c r="C764"/>
      <c r="D764"/>
    </row>
    <row r="765" spans="3:4" x14ac:dyDescent="0.25">
      <c r="C765"/>
      <c r="D765"/>
    </row>
    <row r="766" spans="3:4" x14ac:dyDescent="0.25">
      <c r="C766"/>
      <c r="D766"/>
    </row>
    <row r="767" spans="3:4" x14ac:dyDescent="0.25">
      <c r="C767"/>
      <c r="D767"/>
    </row>
    <row r="768" spans="3:4" x14ac:dyDescent="0.25">
      <c r="C768"/>
      <c r="D768"/>
    </row>
    <row r="769" spans="3:4" x14ac:dyDescent="0.25">
      <c r="C769"/>
      <c r="D769"/>
    </row>
    <row r="770" spans="3:4" x14ac:dyDescent="0.25">
      <c r="C770"/>
      <c r="D770"/>
    </row>
    <row r="771" spans="3:4" x14ac:dyDescent="0.25">
      <c r="C771"/>
      <c r="D771"/>
    </row>
    <row r="772" spans="3:4" x14ac:dyDescent="0.25">
      <c r="C772"/>
      <c r="D772"/>
    </row>
    <row r="773" spans="3:4" x14ac:dyDescent="0.25">
      <c r="C773"/>
      <c r="D773"/>
    </row>
    <row r="774" spans="3:4" x14ac:dyDescent="0.25">
      <c r="C774"/>
      <c r="D774"/>
    </row>
    <row r="775" spans="3:4" x14ac:dyDescent="0.25">
      <c r="C775"/>
      <c r="D775"/>
    </row>
    <row r="776" spans="3:4" x14ac:dyDescent="0.25">
      <c r="C776"/>
      <c r="D776"/>
    </row>
    <row r="777" spans="3:4" x14ac:dyDescent="0.25">
      <c r="C777"/>
      <c r="D777"/>
    </row>
    <row r="778" spans="3:4" x14ac:dyDescent="0.25">
      <c r="C778"/>
      <c r="D778"/>
    </row>
    <row r="779" spans="3:4" x14ac:dyDescent="0.25">
      <c r="C779"/>
      <c r="D779"/>
    </row>
    <row r="780" spans="3:4" x14ac:dyDescent="0.25">
      <c r="C780"/>
      <c r="D780"/>
    </row>
    <row r="781" spans="3:4" x14ac:dyDescent="0.25">
      <c r="C781"/>
      <c r="D781"/>
    </row>
    <row r="782" spans="3:4" x14ac:dyDescent="0.25">
      <c r="C782"/>
      <c r="D782"/>
    </row>
    <row r="783" spans="3:4" x14ac:dyDescent="0.25">
      <c r="C783"/>
      <c r="D783"/>
    </row>
    <row r="784" spans="3:4" x14ac:dyDescent="0.25">
      <c r="C784"/>
      <c r="D784"/>
    </row>
    <row r="785" spans="3:4" x14ac:dyDescent="0.25">
      <c r="C785"/>
      <c r="D785"/>
    </row>
    <row r="786" spans="3:4" x14ac:dyDescent="0.25">
      <c r="C786"/>
      <c r="D786"/>
    </row>
    <row r="787" spans="3:4" x14ac:dyDescent="0.25">
      <c r="C787"/>
      <c r="D787"/>
    </row>
    <row r="788" spans="3:4" x14ac:dyDescent="0.25">
      <c r="C788"/>
      <c r="D788"/>
    </row>
    <row r="789" spans="3:4" x14ac:dyDescent="0.25">
      <c r="C789"/>
      <c r="D789"/>
    </row>
    <row r="790" spans="3:4" x14ac:dyDescent="0.25">
      <c r="C790"/>
      <c r="D790"/>
    </row>
    <row r="791" spans="3:4" x14ac:dyDescent="0.25">
      <c r="C791"/>
      <c r="D791"/>
    </row>
    <row r="792" spans="3:4" x14ac:dyDescent="0.25">
      <c r="C792"/>
      <c r="D792"/>
    </row>
    <row r="793" spans="3:4" x14ac:dyDescent="0.25">
      <c r="C793"/>
      <c r="D793"/>
    </row>
    <row r="794" spans="3:4" x14ac:dyDescent="0.25">
      <c r="C794"/>
      <c r="D794"/>
    </row>
    <row r="795" spans="3:4" x14ac:dyDescent="0.25">
      <c r="C795"/>
      <c r="D795"/>
    </row>
    <row r="796" spans="3:4" x14ac:dyDescent="0.25">
      <c r="C796"/>
      <c r="D796"/>
    </row>
    <row r="797" spans="3:4" x14ac:dyDescent="0.25">
      <c r="C797"/>
      <c r="D797"/>
    </row>
    <row r="798" spans="3:4" x14ac:dyDescent="0.25">
      <c r="C798"/>
      <c r="D798"/>
    </row>
    <row r="799" spans="3:4" x14ac:dyDescent="0.25">
      <c r="C799"/>
      <c r="D799"/>
    </row>
    <row r="800" spans="3:4" x14ac:dyDescent="0.25">
      <c r="C800"/>
      <c r="D800"/>
    </row>
    <row r="801" spans="3:4" x14ac:dyDescent="0.25">
      <c r="C801"/>
      <c r="D801"/>
    </row>
    <row r="802" spans="3:4" x14ac:dyDescent="0.25">
      <c r="C802"/>
      <c r="D802"/>
    </row>
    <row r="803" spans="3:4" x14ac:dyDescent="0.25">
      <c r="C803"/>
      <c r="D803"/>
    </row>
    <row r="804" spans="3:4" x14ac:dyDescent="0.25">
      <c r="C804"/>
      <c r="D804"/>
    </row>
    <row r="805" spans="3:4" x14ac:dyDescent="0.25">
      <c r="C805"/>
      <c r="D805"/>
    </row>
    <row r="806" spans="3:4" x14ac:dyDescent="0.25">
      <c r="C806"/>
      <c r="D806"/>
    </row>
    <row r="807" spans="3:4" x14ac:dyDescent="0.25">
      <c r="C807"/>
      <c r="D807"/>
    </row>
    <row r="808" spans="3:4" x14ac:dyDescent="0.25">
      <c r="C808"/>
      <c r="D808"/>
    </row>
    <row r="809" spans="3:4" x14ac:dyDescent="0.25">
      <c r="C809"/>
      <c r="D809"/>
    </row>
    <row r="810" spans="3:4" x14ac:dyDescent="0.25">
      <c r="C810"/>
      <c r="D810"/>
    </row>
    <row r="811" spans="3:4" x14ac:dyDescent="0.25">
      <c r="C811"/>
      <c r="D811"/>
    </row>
    <row r="812" spans="3:4" x14ac:dyDescent="0.25">
      <c r="C812"/>
      <c r="D812"/>
    </row>
    <row r="813" spans="3:4" x14ac:dyDescent="0.25">
      <c r="C813"/>
      <c r="D813"/>
    </row>
    <row r="814" spans="3:4" x14ac:dyDescent="0.25">
      <c r="C814"/>
      <c r="D814"/>
    </row>
    <row r="815" spans="3:4" x14ac:dyDescent="0.25">
      <c r="C815"/>
      <c r="D815"/>
    </row>
    <row r="816" spans="3:4" x14ac:dyDescent="0.25">
      <c r="C816"/>
      <c r="D816"/>
    </row>
    <row r="817" spans="3:4" x14ac:dyDescent="0.25">
      <c r="C817"/>
      <c r="D817"/>
    </row>
    <row r="818" spans="3:4" x14ac:dyDescent="0.25">
      <c r="C818"/>
      <c r="D818"/>
    </row>
    <row r="819" spans="3:4" x14ac:dyDescent="0.25">
      <c r="C819"/>
      <c r="D819"/>
    </row>
    <row r="820" spans="3:4" x14ac:dyDescent="0.25">
      <c r="C820"/>
      <c r="D820"/>
    </row>
    <row r="821" spans="3:4" x14ac:dyDescent="0.25">
      <c r="C821"/>
      <c r="D821"/>
    </row>
    <row r="822" spans="3:4" x14ac:dyDescent="0.25">
      <c r="C822"/>
      <c r="D822"/>
    </row>
    <row r="823" spans="3:4" x14ac:dyDescent="0.25">
      <c r="C823"/>
      <c r="D823"/>
    </row>
    <row r="824" spans="3:4" x14ac:dyDescent="0.25">
      <c r="C824"/>
      <c r="D824"/>
    </row>
    <row r="825" spans="3:4" x14ac:dyDescent="0.25">
      <c r="C825"/>
      <c r="D825"/>
    </row>
    <row r="826" spans="3:4" x14ac:dyDescent="0.25">
      <c r="C826"/>
      <c r="D826"/>
    </row>
    <row r="827" spans="3:4" x14ac:dyDescent="0.25">
      <c r="C827"/>
      <c r="D827"/>
    </row>
    <row r="828" spans="3:4" x14ac:dyDescent="0.25">
      <c r="C828"/>
      <c r="D828"/>
    </row>
    <row r="829" spans="3:4" x14ac:dyDescent="0.25">
      <c r="C829"/>
      <c r="D829"/>
    </row>
    <row r="830" spans="3:4" x14ac:dyDescent="0.25">
      <c r="C830"/>
      <c r="D830"/>
    </row>
    <row r="831" spans="3:4" x14ac:dyDescent="0.25">
      <c r="C831"/>
      <c r="D831"/>
    </row>
    <row r="832" spans="3:4" x14ac:dyDescent="0.25">
      <c r="C832"/>
      <c r="D832"/>
    </row>
    <row r="833" spans="3:4" x14ac:dyDescent="0.25">
      <c r="C833"/>
      <c r="D833"/>
    </row>
    <row r="834" spans="3:4" x14ac:dyDescent="0.25">
      <c r="C834"/>
      <c r="D834"/>
    </row>
    <row r="835" spans="3:4" x14ac:dyDescent="0.25">
      <c r="C835"/>
      <c r="D835"/>
    </row>
    <row r="836" spans="3:4" x14ac:dyDescent="0.25">
      <c r="C836"/>
      <c r="D836"/>
    </row>
    <row r="837" spans="3:4" x14ac:dyDescent="0.25">
      <c r="C837"/>
      <c r="D837"/>
    </row>
    <row r="838" spans="3:4" x14ac:dyDescent="0.25">
      <c r="C838"/>
      <c r="D838"/>
    </row>
    <row r="839" spans="3:4" x14ac:dyDescent="0.25">
      <c r="C839"/>
      <c r="D839"/>
    </row>
    <row r="840" spans="3:4" x14ac:dyDescent="0.25">
      <c r="C840"/>
      <c r="D840"/>
    </row>
    <row r="841" spans="3:4" x14ac:dyDescent="0.25">
      <c r="C841"/>
      <c r="D841"/>
    </row>
    <row r="842" spans="3:4" x14ac:dyDescent="0.25">
      <c r="C842"/>
      <c r="D842"/>
    </row>
    <row r="843" spans="3:4" x14ac:dyDescent="0.25">
      <c r="C843"/>
      <c r="D843"/>
    </row>
    <row r="844" spans="3:4" x14ac:dyDescent="0.25">
      <c r="C844"/>
      <c r="D844"/>
    </row>
    <row r="845" spans="3:4" x14ac:dyDescent="0.25">
      <c r="C845"/>
      <c r="D845"/>
    </row>
    <row r="846" spans="3:4" x14ac:dyDescent="0.25">
      <c r="C846"/>
      <c r="D846"/>
    </row>
    <row r="847" spans="3:4" x14ac:dyDescent="0.25">
      <c r="C847"/>
      <c r="D847"/>
    </row>
    <row r="848" spans="3:4" x14ac:dyDescent="0.25">
      <c r="C848"/>
      <c r="D848"/>
    </row>
    <row r="849" spans="3:4" x14ac:dyDescent="0.25">
      <c r="C849"/>
      <c r="D849"/>
    </row>
    <row r="850" spans="3:4" x14ac:dyDescent="0.25">
      <c r="C850"/>
      <c r="D850"/>
    </row>
    <row r="851" spans="3:4" x14ac:dyDescent="0.25">
      <c r="C851"/>
      <c r="D851"/>
    </row>
    <row r="852" spans="3:4" x14ac:dyDescent="0.25">
      <c r="C852"/>
      <c r="D852"/>
    </row>
    <row r="853" spans="3:4" x14ac:dyDescent="0.25">
      <c r="C853"/>
      <c r="D853"/>
    </row>
    <row r="854" spans="3:4" x14ac:dyDescent="0.25">
      <c r="C854"/>
      <c r="D854"/>
    </row>
    <row r="855" spans="3:4" x14ac:dyDescent="0.25">
      <c r="C855"/>
      <c r="D855"/>
    </row>
    <row r="856" spans="3:4" x14ac:dyDescent="0.25">
      <c r="C856"/>
      <c r="D856"/>
    </row>
    <row r="857" spans="3:4" x14ac:dyDescent="0.25">
      <c r="C857"/>
      <c r="D857"/>
    </row>
    <row r="858" spans="3:4" x14ac:dyDescent="0.25">
      <c r="C858"/>
      <c r="D858"/>
    </row>
    <row r="859" spans="3:4" x14ac:dyDescent="0.25">
      <c r="C859"/>
      <c r="D859"/>
    </row>
    <row r="860" spans="3:4" x14ac:dyDescent="0.25">
      <c r="C860"/>
      <c r="D860"/>
    </row>
    <row r="861" spans="3:4" x14ac:dyDescent="0.25">
      <c r="C861"/>
      <c r="D861"/>
    </row>
    <row r="862" spans="3:4" x14ac:dyDescent="0.25">
      <c r="C862"/>
      <c r="D862"/>
    </row>
    <row r="863" spans="3:4" x14ac:dyDescent="0.25">
      <c r="C863"/>
      <c r="D863"/>
    </row>
    <row r="864" spans="3:4" x14ac:dyDescent="0.25">
      <c r="C864"/>
      <c r="D864"/>
    </row>
    <row r="865" spans="3:4" x14ac:dyDescent="0.25">
      <c r="C865"/>
      <c r="D865"/>
    </row>
    <row r="866" spans="3:4" x14ac:dyDescent="0.25">
      <c r="C866"/>
      <c r="D866"/>
    </row>
    <row r="867" spans="3:4" x14ac:dyDescent="0.25">
      <c r="C867"/>
      <c r="D867"/>
    </row>
    <row r="868" spans="3:4" x14ac:dyDescent="0.25">
      <c r="C868"/>
      <c r="D868"/>
    </row>
    <row r="869" spans="3:4" x14ac:dyDescent="0.25">
      <c r="C869"/>
      <c r="D869"/>
    </row>
    <row r="870" spans="3:4" x14ac:dyDescent="0.25">
      <c r="C870"/>
      <c r="D870"/>
    </row>
    <row r="871" spans="3:4" x14ac:dyDescent="0.25">
      <c r="C871"/>
      <c r="D871"/>
    </row>
    <row r="872" spans="3:4" x14ac:dyDescent="0.25">
      <c r="C872"/>
      <c r="D872"/>
    </row>
    <row r="873" spans="3:4" x14ac:dyDescent="0.25">
      <c r="C873"/>
      <c r="D873"/>
    </row>
    <row r="874" spans="3:4" x14ac:dyDescent="0.25">
      <c r="C874"/>
      <c r="D874"/>
    </row>
    <row r="875" spans="3:4" x14ac:dyDescent="0.25">
      <c r="C875"/>
      <c r="D875"/>
    </row>
    <row r="876" spans="3:4" x14ac:dyDescent="0.25">
      <c r="C876"/>
      <c r="D876"/>
    </row>
    <row r="877" spans="3:4" x14ac:dyDescent="0.25">
      <c r="C877"/>
      <c r="D877"/>
    </row>
    <row r="878" spans="3:4" x14ac:dyDescent="0.25">
      <c r="C878"/>
      <c r="D878"/>
    </row>
    <row r="879" spans="3:4" x14ac:dyDescent="0.25">
      <c r="C879"/>
      <c r="D879"/>
    </row>
    <row r="880" spans="3:4" x14ac:dyDescent="0.25">
      <c r="C880"/>
      <c r="D880"/>
    </row>
    <row r="881" spans="3:4" x14ac:dyDescent="0.25">
      <c r="C881"/>
      <c r="D881"/>
    </row>
    <row r="882" spans="3:4" x14ac:dyDescent="0.25">
      <c r="C882"/>
      <c r="D882"/>
    </row>
    <row r="883" spans="3:4" x14ac:dyDescent="0.25">
      <c r="C883"/>
      <c r="D883"/>
    </row>
    <row r="884" spans="3:4" x14ac:dyDescent="0.25">
      <c r="C884"/>
      <c r="D884"/>
    </row>
    <row r="885" spans="3:4" x14ac:dyDescent="0.25">
      <c r="C885"/>
      <c r="D885"/>
    </row>
    <row r="886" spans="3:4" x14ac:dyDescent="0.25">
      <c r="C886"/>
      <c r="D886"/>
    </row>
    <row r="887" spans="3:4" x14ac:dyDescent="0.25">
      <c r="C887"/>
      <c r="D887"/>
    </row>
    <row r="888" spans="3:4" x14ac:dyDescent="0.25">
      <c r="C888"/>
      <c r="D888"/>
    </row>
    <row r="889" spans="3:4" x14ac:dyDescent="0.25">
      <c r="C889"/>
      <c r="D889"/>
    </row>
    <row r="890" spans="3:4" x14ac:dyDescent="0.25">
      <c r="C890"/>
      <c r="D890"/>
    </row>
    <row r="891" spans="3:4" x14ac:dyDescent="0.25">
      <c r="C891"/>
      <c r="D891"/>
    </row>
    <row r="892" spans="3:4" x14ac:dyDescent="0.25">
      <c r="C892"/>
      <c r="D892"/>
    </row>
    <row r="893" spans="3:4" x14ac:dyDescent="0.25">
      <c r="C893"/>
      <c r="D893"/>
    </row>
    <row r="894" spans="3:4" x14ac:dyDescent="0.25">
      <c r="C894"/>
      <c r="D894"/>
    </row>
    <row r="895" spans="3:4" x14ac:dyDescent="0.25">
      <c r="C895"/>
      <c r="D895"/>
    </row>
    <row r="896" spans="3:4" x14ac:dyDescent="0.25">
      <c r="C896"/>
      <c r="D896"/>
    </row>
    <row r="897" spans="3:4" x14ac:dyDescent="0.25">
      <c r="C897"/>
      <c r="D897"/>
    </row>
    <row r="898" spans="3:4" x14ac:dyDescent="0.25">
      <c r="C898"/>
      <c r="D898"/>
    </row>
    <row r="899" spans="3:4" x14ac:dyDescent="0.25">
      <c r="C899"/>
      <c r="D899"/>
    </row>
    <row r="900" spans="3:4" x14ac:dyDescent="0.25">
      <c r="C900"/>
      <c r="D900"/>
    </row>
    <row r="901" spans="3:4" x14ac:dyDescent="0.25">
      <c r="C901"/>
      <c r="D901"/>
    </row>
    <row r="902" spans="3:4" x14ac:dyDescent="0.25">
      <c r="C902"/>
      <c r="D902"/>
    </row>
    <row r="903" spans="3:4" x14ac:dyDescent="0.25">
      <c r="C903"/>
      <c r="D903"/>
    </row>
    <row r="904" spans="3:4" x14ac:dyDescent="0.25">
      <c r="C904"/>
      <c r="D904"/>
    </row>
    <row r="905" spans="3:4" x14ac:dyDescent="0.25">
      <c r="C905"/>
      <c r="D905"/>
    </row>
    <row r="906" spans="3:4" x14ac:dyDescent="0.25">
      <c r="C906"/>
      <c r="D906"/>
    </row>
    <row r="907" spans="3:4" x14ac:dyDescent="0.25">
      <c r="C907"/>
      <c r="D907"/>
    </row>
    <row r="908" spans="3:4" x14ac:dyDescent="0.25">
      <c r="C908"/>
      <c r="D908"/>
    </row>
    <row r="909" spans="3:4" x14ac:dyDescent="0.25">
      <c r="C909"/>
      <c r="D909"/>
    </row>
    <row r="910" spans="3:4" x14ac:dyDescent="0.25">
      <c r="C910"/>
      <c r="D910"/>
    </row>
    <row r="911" spans="3:4" x14ac:dyDescent="0.25">
      <c r="C911"/>
      <c r="D911"/>
    </row>
    <row r="912" spans="3:4" x14ac:dyDescent="0.25">
      <c r="C912"/>
      <c r="D912"/>
    </row>
    <row r="913" spans="3:4" x14ac:dyDescent="0.25">
      <c r="C913"/>
      <c r="D913"/>
    </row>
    <row r="914" spans="3:4" x14ac:dyDescent="0.25">
      <c r="C914"/>
      <c r="D914"/>
    </row>
    <row r="915" spans="3:4" x14ac:dyDescent="0.25">
      <c r="C915"/>
      <c r="D915"/>
    </row>
    <row r="916" spans="3:4" x14ac:dyDescent="0.25">
      <c r="C916"/>
      <c r="D916"/>
    </row>
    <row r="917" spans="3:4" x14ac:dyDescent="0.25">
      <c r="C917"/>
      <c r="D917"/>
    </row>
    <row r="918" spans="3:4" x14ac:dyDescent="0.25">
      <c r="C918"/>
      <c r="D918"/>
    </row>
    <row r="919" spans="3:4" x14ac:dyDescent="0.25">
      <c r="C919"/>
      <c r="D919"/>
    </row>
    <row r="920" spans="3:4" x14ac:dyDescent="0.25">
      <c r="C920"/>
      <c r="D920"/>
    </row>
    <row r="921" spans="3:4" x14ac:dyDescent="0.25">
      <c r="C921"/>
      <c r="D921"/>
    </row>
    <row r="922" spans="3:4" x14ac:dyDescent="0.25">
      <c r="C922"/>
      <c r="D922"/>
    </row>
    <row r="923" spans="3:4" x14ac:dyDescent="0.25">
      <c r="C923"/>
      <c r="D923"/>
    </row>
    <row r="924" spans="3:4" x14ac:dyDescent="0.25">
      <c r="C924"/>
      <c r="D924"/>
    </row>
    <row r="925" spans="3:4" x14ac:dyDescent="0.25">
      <c r="C925"/>
      <c r="D925"/>
    </row>
    <row r="926" spans="3:4" x14ac:dyDescent="0.25">
      <c r="C926"/>
      <c r="D926"/>
    </row>
    <row r="927" spans="3:4" x14ac:dyDescent="0.25">
      <c r="C927"/>
      <c r="D927"/>
    </row>
    <row r="928" spans="3:4" x14ac:dyDescent="0.25">
      <c r="C928"/>
      <c r="D928"/>
    </row>
    <row r="929" spans="3:4" x14ac:dyDescent="0.25">
      <c r="C929"/>
      <c r="D929"/>
    </row>
    <row r="930" spans="3:4" x14ac:dyDescent="0.25">
      <c r="C930"/>
      <c r="D930"/>
    </row>
    <row r="931" spans="3:4" x14ac:dyDescent="0.25">
      <c r="C931"/>
      <c r="D931"/>
    </row>
    <row r="932" spans="3:4" x14ac:dyDescent="0.25">
      <c r="C932"/>
      <c r="D932"/>
    </row>
    <row r="933" spans="3:4" x14ac:dyDescent="0.25">
      <c r="C933"/>
      <c r="D933"/>
    </row>
    <row r="934" spans="3:4" x14ac:dyDescent="0.25">
      <c r="C934"/>
      <c r="D934"/>
    </row>
    <row r="935" spans="3:4" x14ac:dyDescent="0.25">
      <c r="C935"/>
      <c r="D935"/>
    </row>
    <row r="936" spans="3:4" x14ac:dyDescent="0.25">
      <c r="C936"/>
      <c r="D936"/>
    </row>
    <row r="937" spans="3:4" x14ac:dyDescent="0.25">
      <c r="C937"/>
      <c r="D937"/>
    </row>
    <row r="938" spans="3:4" x14ac:dyDescent="0.25">
      <c r="C938"/>
      <c r="D938"/>
    </row>
    <row r="939" spans="3:4" x14ac:dyDescent="0.25">
      <c r="C939"/>
      <c r="D939"/>
    </row>
    <row r="940" spans="3:4" x14ac:dyDescent="0.25">
      <c r="C940"/>
      <c r="D940"/>
    </row>
    <row r="941" spans="3:4" x14ac:dyDescent="0.25">
      <c r="C941"/>
      <c r="D941"/>
    </row>
    <row r="942" spans="3:4" x14ac:dyDescent="0.25">
      <c r="C942"/>
      <c r="D942"/>
    </row>
    <row r="943" spans="3:4" x14ac:dyDescent="0.25">
      <c r="C943"/>
      <c r="D943"/>
    </row>
    <row r="944" spans="3:4" x14ac:dyDescent="0.25">
      <c r="C944"/>
      <c r="D944"/>
    </row>
    <row r="945" spans="3:4" x14ac:dyDescent="0.25">
      <c r="C945"/>
      <c r="D945"/>
    </row>
    <row r="946" spans="3:4" x14ac:dyDescent="0.25">
      <c r="C946"/>
      <c r="D946"/>
    </row>
    <row r="947" spans="3:4" x14ac:dyDescent="0.25">
      <c r="C947"/>
      <c r="D947"/>
    </row>
    <row r="948" spans="3:4" x14ac:dyDescent="0.25">
      <c r="C948"/>
      <c r="D948"/>
    </row>
    <row r="949" spans="3:4" x14ac:dyDescent="0.25">
      <c r="C949"/>
      <c r="D949"/>
    </row>
    <row r="950" spans="3:4" x14ac:dyDescent="0.25">
      <c r="C950"/>
      <c r="D950"/>
    </row>
    <row r="951" spans="3:4" x14ac:dyDescent="0.25">
      <c r="C951"/>
      <c r="D951"/>
    </row>
    <row r="952" spans="3:4" x14ac:dyDescent="0.25">
      <c r="C952"/>
      <c r="D952"/>
    </row>
    <row r="953" spans="3:4" x14ac:dyDescent="0.25">
      <c r="C953"/>
      <c r="D953"/>
    </row>
    <row r="954" spans="3:4" x14ac:dyDescent="0.25">
      <c r="C954"/>
      <c r="D954"/>
    </row>
    <row r="955" spans="3:4" x14ac:dyDescent="0.25">
      <c r="C955"/>
      <c r="D955"/>
    </row>
    <row r="956" spans="3:4" x14ac:dyDescent="0.25">
      <c r="C956"/>
      <c r="D956"/>
    </row>
    <row r="957" spans="3:4" x14ac:dyDescent="0.25">
      <c r="C957"/>
      <c r="D957"/>
    </row>
    <row r="958" spans="3:4" x14ac:dyDescent="0.25">
      <c r="C958"/>
      <c r="D958"/>
    </row>
    <row r="959" spans="3:4" x14ac:dyDescent="0.25">
      <c r="C959"/>
      <c r="D959"/>
    </row>
    <row r="960" spans="3:4" x14ac:dyDescent="0.25">
      <c r="C960"/>
      <c r="D960"/>
    </row>
    <row r="961" spans="3:4" x14ac:dyDescent="0.25">
      <c r="C961"/>
      <c r="D961"/>
    </row>
    <row r="962" spans="3:4" x14ac:dyDescent="0.25">
      <c r="C962"/>
      <c r="D962"/>
    </row>
    <row r="963" spans="3:4" x14ac:dyDescent="0.25">
      <c r="C963"/>
      <c r="D963"/>
    </row>
    <row r="964" spans="3:4" x14ac:dyDescent="0.25">
      <c r="C964"/>
      <c r="D964"/>
    </row>
    <row r="965" spans="3:4" x14ac:dyDescent="0.25">
      <c r="C965"/>
      <c r="D965"/>
    </row>
    <row r="966" spans="3:4" x14ac:dyDescent="0.25">
      <c r="C966"/>
      <c r="D966"/>
    </row>
    <row r="967" spans="3:4" x14ac:dyDescent="0.25">
      <c r="C967"/>
      <c r="D967"/>
    </row>
    <row r="968" spans="3:4" x14ac:dyDescent="0.25">
      <c r="C968"/>
      <c r="D968"/>
    </row>
    <row r="969" spans="3:4" x14ac:dyDescent="0.25">
      <c r="C969"/>
      <c r="D969"/>
    </row>
    <row r="970" spans="3:4" x14ac:dyDescent="0.25">
      <c r="C970"/>
      <c r="D970"/>
    </row>
    <row r="971" spans="3:4" x14ac:dyDescent="0.25">
      <c r="C971"/>
      <c r="D971"/>
    </row>
    <row r="972" spans="3:4" x14ac:dyDescent="0.25">
      <c r="C972"/>
      <c r="D972"/>
    </row>
    <row r="973" spans="3:4" x14ac:dyDescent="0.25">
      <c r="C973"/>
      <c r="D973"/>
    </row>
    <row r="974" spans="3:4" x14ac:dyDescent="0.25">
      <c r="C974"/>
      <c r="D974"/>
    </row>
    <row r="975" spans="3:4" x14ac:dyDescent="0.25">
      <c r="C975"/>
      <c r="D975"/>
    </row>
    <row r="976" spans="3:4" x14ac:dyDescent="0.25">
      <c r="C976"/>
      <c r="D976"/>
    </row>
    <row r="977" spans="3:4" x14ac:dyDescent="0.25">
      <c r="C977"/>
      <c r="D977"/>
    </row>
    <row r="978" spans="3:4" x14ac:dyDescent="0.25">
      <c r="C978"/>
      <c r="D978"/>
    </row>
    <row r="979" spans="3:4" x14ac:dyDescent="0.25">
      <c r="C979"/>
      <c r="D979"/>
    </row>
    <row r="980" spans="3:4" x14ac:dyDescent="0.25">
      <c r="C980"/>
      <c r="D980"/>
    </row>
    <row r="981" spans="3:4" x14ac:dyDescent="0.25">
      <c r="C981"/>
      <c r="D981"/>
    </row>
    <row r="982" spans="3:4" x14ac:dyDescent="0.25">
      <c r="C982"/>
      <c r="D982"/>
    </row>
    <row r="983" spans="3:4" x14ac:dyDescent="0.25">
      <c r="C983"/>
      <c r="D983"/>
    </row>
    <row r="984" spans="3:4" x14ac:dyDescent="0.25">
      <c r="C984"/>
      <c r="D984"/>
    </row>
    <row r="985" spans="3:4" x14ac:dyDescent="0.25">
      <c r="C985"/>
      <c r="D985"/>
    </row>
    <row r="986" spans="3:4" x14ac:dyDescent="0.25">
      <c r="C986"/>
      <c r="D986"/>
    </row>
    <row r="987" spans="3:4" x14ac:dyDescent="0.25">
      <c r="C987"/>
      <c r="D987"/>
    </row>
    <row r="988" spans="3:4" x14ac:dyDescent="0.25">
      <c r="C988"/>
      <c r="D988"/>
    </row>
    <row r="989" spans="3:4" x14ac:dyDescent="0.25">
      <c r="C989"/>
      <c r="D989"/>
    </row>
    <row r="990" spans="3:4" x14ac:dyDescent="0.25">
      <c r="C990"/>
      <c r="D990"/>
    </row>
    <row r="991" spans="3:4" x14ac:dyDescent="0.25">
      <c r="C991"/>
      <c r="D991"/>
    </row>
    <row r="992" spans="3:4" x14ac:dyDescent="0.25">
      <c r="C992"/>
      <c r="D992"/>
    </row>
    <row r="993" spans="3:4" x14ac:dyDescent="0.25">
      <c r="C993"/>
      <c r="D993"/>
    </row>
    <row r="994" spans="3:4" x14ac:dyDescent="0.25">
      <c r="C994"/>
      <c r="D994"/>
    </row>
    <row r="995" spans="3:4" x14ac:dyDescent="0.25">
      <c r="C995"/>
      <c r="D995"/>
    </row>
    <row r="996" spans="3:4" x14ac:dyDescent="0.25">
      <c r="C996"/>
      <c r="D996"/>
    </row>
    <row r="997" spans="3:4" x14ac:dyDescent="0.25">
      <c r="C997"/>
      <c r="D997"/>
    </row>
    <row r="998" spans="3:4" x14ac:dyDescent="0.25">
      <c r="C998"/>
      <c r="D998"/>
    </row>
    <row r="999" spans="3:4" x14ac:dyDescent="0.25">
      <c r="C999"/>
      <c r="D999"/>
    </row>
    <row r="1000" spans="3:4" x14ac:dyDescent="0.25">
      <c r="C1000"/>
      <c r="D1000"/>
    </row>
    <row r="1001" spans="3:4" x14ac:dyDescent="0.25">
      <c r="C1001"/>
      <c r="D1001"/>
    </row>
    <row r="1002" spans="3:4" x14ac:dyDescent="0.25">
      <c r="C1002"/>
      <c r="D1002"/>
    </row>
    <row r="1003" spans="3:4" x14ac:dyDescent="0.25">
      <c r="C1003"/>
      <c r="D1003"/>
    </row>
    <row r="1004" spans="3:4" x14ac:dyDescent="0.25">
      <c r="C1004"/>
      <c r="D1004"/>
    </row>
    <row r="1005" spans="3:4" x14ac:dyDescent="0.25">
      <c r="C1005"/>
      <c r="D1005"/>
    </row>
    <row r="1006" spans="3:4" x14ac:dyDescent="0.25">
      <c r="C1006"/>
      <c r="D1006"/>
    </row>
    <row r="1007" spans="3:4" x14ac:dyDescent="0.25">
      <c r="C1007"/>
      <c r="D1007"/>
    </row>
    <row r="1008" spans="3:4" x14ac:dyDescent="0.25">
      <c r="C1008"/>
      <c r="D1008"/>
    </row>
    <row r="1009" spans="3:4" x14ac:dyDescent="0.25">
      <c r="C1009"/>
      <c r="D1009"/>
    </row>
    <row r="1010" spans="3:4" x14ac:dyDescent="0.25">
      <c r="C1010"/>
      <c r="D1010"/>
    </row>
    <row r="1011" spans="3:4" x14ac:dyDescent="0.25">
      <c r="C1011"/>
      <c r="D1011"/>
    </row>
    <row r="1012" spans="3:4" x14ac:dyDescent="0.25">
      <c r="C1012"/>
      <c r="D1012"/>
    </row>
    <row r="1013" spans="3:4" x14ac:dyDescent="0.25">
      <c r="C1013"/>
      <c r="D1013"/>
    </row>
    <row r="1014" spans="3:4" x14ac:dyDescent="0.25">
      <c r="C1014"/>
      <c r="D1014"/>
    </row>
    <row r="1015" spans="3:4" x14ac:dyDescent="0.25">
      <c r="C1015"/>
      <c r="D1015"/>
    </row>
    <row r="1016" spans="3:4" x14ac:dyDescent="0.25">
      <c r="C1016"/>
      <c r="D1016"/>
    </row>
    <row r="1017" spans="3:4" x14ac:dyDescent="0.25">
      <c r="C1017"/>
      <c r="D1017"/>
    </row>
    <row r="1018" spans="3:4" x14ac:dyDescent="0.25">
      <c r="C1018"/>
      <c r="D1018"/>
    </row>
    <row r="1019" spans="3:4" x14ac:dyDescent="0.25">
      <c r="C1019"/>
      <c r="D1019"/>
    </row>
    <row r="1020" spans="3:4" x14ac:dyDescent="0.25">
      <c r="C1020"/>
      <c r="D1020"/>
    </row>
    <row r="1021" spans="3:4" x14ac:dyDescent="0.25">
      <c r="C1021"/>
      <c r="D1021"/>
    </row>
    <row r="1022" spans="3:4" x14ac:dyDescent="0.25">
      <c r="C1022"/>
      <c r="D1022"/>
    </row>
    <row r="1023" spans="3:4" x14ac:dyDescent="0.25">
      <c r="C1023"/>
      <c r="D1023"/>
    </row>
    <row r="1024" spans="3:4" x14ac:dyDescent="0.25">
      <c r="C1024"/>
      <c r="D1024"/>
    </row>
    <row r="1025" spans="3:4" x14ac:dyDescent="0.25">
      <c r="C1025"/>
      <c r="D1025"/>
    </row>
    <row r="1026" spans="3:4" x14ac:dyDescent="0.25">
      <c r="C1026"/>
      <c r="D1026"/>
    </row>
    <row r="1027" spans="3:4" x14ac:dyDescent="0.25">
      <c r="C1027"/>
      <c r="D1027"/>
    </row>
    <row r="1028" spans="3:4" x14ac:dyDescent="0.25">
      <c r="C1028"/>
      <c r="D1028"/>
    </row>
    <row r="1029" spans="3:4" x14ac:dyDescent="0.25">
      <c r="C1029"/>
      <c r="D1029"/>
    </row>
    <row r="1030" spans="3:4" x14ac:dyDescent="0.25">
      <c r="C1030"/>
      <c r="D1030"/>
    </row>
    <row r="1031" spans="3:4" x14ac:dyDescent="0.25">
      <c r="C1031"/>
      <c r="D1031"/>
    </row>
    <row r="1032" spans="3:4" x14ac:dyDescent="0.25">
      <c r="C1032"/>
      <c r="D1032"/>
    </row>
    <row r="1033" spans="3:4" x14ac:dyDescent="0.25">
      <c r="C1033"/>
      <c r="D1033"/>
    </row>
    <row r="1034" spans="3:4" x14ac:dyDescent="0.25">
      <c r="C1034"/>
      <c r="D1034"/>
    </row>
    <row r="1035" spans="3:4" x14ac:dyDescent="0.25">
      <c r="C1035"/>
      <c r="D1035"/>
    </row>
    <row r="1036" spans="3:4" x14ac:dyDescent="0.25">
      <c r="C1036"/>
      <c r="D1036"/>
    </row>
    <row r="1037" spans="3:4" x14ac:dyDescent="0.25">
      <c r="C1037"/>
      <c r="D1037"/>
    </row>
    <row r="1038" spans="3:4" x14ac:dyDescent="0.25">
      <c r="C1038"/>
      <c r="D1038"/>
    </row>
    <row r="1039" spans="3:4" x14ac:dyDescent="0.25">
      <c r="C1039"/>
      <c r="D1039"/>
    </row>
    <row r="1040" spans="3:4" x14ac:dyDescent="0.25">
      <c r="C1040"/>
      <c r="D1040"/>
    </row>
    <row r="1041" spans="3:4" x14ac:dyDescent="0.25">
      <c r="C1041"/>
      <c r="D1041"/>
    </row>
    <row r="1042" spans="3:4" x14ac:dyDescent="0.25">
      <c r="C1042"/>
      <c r="D1042"/>
    </row>
    <row r="1043" spans="3:4" x14ac:dyDescent="0.25">
      <c r="C1043"/>
      <c r="D1043"/>
    </row>
    <row r="1044" spans="3:4" x14ac:dyDescent="0.25">
      <c r="C1044"/>
      <c r="D1044"/>
    </row>
    <row r="1045" spans="3:4" x14ac:dyDescent="0.25">
      <c r="C1045"/>
      <c r="D1045"/>
    </row>
    <row r="1046" spans="3:4" x14ac:dyDescent="0.25">
      <c r="C1046"/>
      <c r="D1046"/>
    </row>
    <row r="1047" spans="3:4" x14ac:dyDescent="0.25">
      <c r="C1047"/>
      <c r="D1047"/>
    </row>
    <row r="1048" spans="3:4" x14ac:dyDescent="0.25">
      <c r="C1048"/>
      <c r="D1048"/>
    </row>
    <row r="1049" spans="3:4" x14ac:dyDescent="0.25">
      <c r="C1049"/>
      <c r="D1049"/>
    </row>
    <row r="1050" spans="3:4" x14ac:dyDescent="0.25">
      <c r="C1050"/>
      <c r="D1050"/>
    </row>
    <row r="1051" spans="3:4" x14ac:dyDescent="0.25">
      <c r="C1051"/>
      <c r="D1051"/>
    </row>
    <row r="1052" spans="3:4" x14ac:dyDescent="0.25">
      <c r="C1052"/>
      <c r="D1052"/>
    </row>
    <row r="1053" spans="3:4" x14ac:dyDescent="0.25">
      <c r="C1053"/>
      <c r="D1053"/>
    </row>
    <row r="1054" spans="3:4" x14ac:dyDescent="0.25">
      <c r="C1054"/>
      <c r="D1054"/>
    </row>
    <row r="1055" spans="3:4" x14ac:dyDescent="0.25">
      <c r="C1055"/>
      <c r="D1055"/>
    </row>
    <row r="1056" spans="3:4" x14ac:dyDescent="0.25">
      <c r="C1056"/>
      <c r="D1056"/>
    </row>
    <row r="1057" spans="3:4" x14ac:dyDescent="0.25">
      <c r="C1057"/>
      <c r="D1057"/>
    </row>
    <row r="1058" spans="3:4" x14ac:dyDescent="0.25">
      <c r="C1058"/>
      <c r="D1058"/>
    </row>
    <row r="1059" spans="3:4" x14ac:dyDescent="0.25">
      <c r="C1059"/>
      <c r="D1059"/>
    </row>
    <row r="1060" spans="3:4" x14ac:dyDescent="0.25">
      <c r="C1060"/>
      <c r="D1060"/>
    </row>
    <row r="1061" spans="3:4" x14ac:dyDescent="0.25">
      <c r="C1061"/>
      <c r="D1061"/>
    </row>
    <row r="1062" spans="3:4" x14ac:dyDescent="0.25">
      <c r="C1062"/>
      <c r="D1062"/>
    </row>
    <row r="1063" spans="3:4" x14ac:dyDescent="0.25">
      <c r="C1063"/>
      <c r="D1063"/>
    </row>
    <row r="1064" spans="3:4" x14ac:dyDescent="0.25">
      <c r="C1064"/>
      <c r="D1064"/>
    </row>
    <row r="1065" spans="3:4" x14ac:dyDescent="0.25">
      <c r="C1065"/>
      <c r="D1065"/>
    </row>
    <row r="1066" spans="3:4" x14ac:dyDescent="0.25">
      <c r="C1066"/>
      <c r="D1066"/>
    </row>
    <row r="1067" spans="3:4" x14ac:dyDescent="0.25">
      <c r="C1067"/>
      <c r="D1067"/>
    </row>
    <row r="1068" spans="3:4" x14ac:dyDescent="0.25">
      <c r="C1068"/>
      <c r="D1068"/>
    </row>
    <row r="1069" spans="3:4" x14ac:dyDescent="0.25">
      <c r="C1069"/>
      <c r="D1069"/>
    </row>
    <row r="1070" spans="3:4" x14ac:dyDescent="0.25">
      <c r="C1070"/>
      <c r="D1070"/>
    </row>
    <row r="1071" spans="3:4" x14ac:dyDescent="0.25">
      <c r="C1071"/>
      <c r="D1071"/>
    </row>
    <row r="1072" spans="3:4" x14ac:dyDescent="0.25">
      <c r="C1072"/>
      <c r="D1072"/>
    </row>
    <row r="1073" spans="3:4" x14ac:dyDescent="0.25">
      <c r="C1073"/>
      <c r="D1073"/>
    </row>
    <row r="1074" spans="3:4" x14ac:dyDescent="0.25">
      <c r="C1074"/>
      <c r="D1074"/>
    </row>
    <row r="1075" spans="3:4" x14ac:dyDescent="0.25">
      <c r="C1075"/>
      <c r="D1075"/>
    </row>
    <row r="1076" spans="3:4" x14ac:dyDescent="0.25">
      <c r="C1076"/>
      <c r="D1076"/>
    </row>
    <row r="1077" spans="3:4" x14ac:dyDescent="0.25">
      <c r="C1077"/>
      <c r="D1077"/>
    </row>
    <row r="1078" spans="3:4" x14ac:dyDescent="0.25">
      <c r="C1078"/>
      <c r="D1078"/>
    </row>
    <row r="1079" spans="3:4" x14ac:dyDescent="0.25">
      <c r="C1079"/>
      <c r="D1079"/>
    </row>
    <row r="1080" spans="3:4" x14ac:dyDescent="0.25">
      <c r="C1080"/>
      <c r="D1080"/>
    </row>
    <row r="1081" spans="3:4" x14ac:dyDescent="0.25">
      <c r="C1081"/>
      <c r="D1081"/>
    </row>
    <row r="1082" spans="3:4" x14ac:dyDescent="0.25">
      <c r="C1082"/>
      <c r="D1082"/>
    </row>
    <row r="1083" spans="3:4" x14ac:dyDescent="0.25">
      <c r="C1083"/>
      <c r="D1083"/>
    </row>
    <row r="1084" spans="3:4" x14ac:dyDescent="0.25">
      <c r="C1084"/>
      <c r="D1084"/>
    </row>
    <row r="1085" spans="3:4" x14ac:dyDescent="0.25">
      <c r="C1085"/>
      <c r="D1085"/>
    </row>
    <row r="1086" spans="3:4" x14ac:dyDescent="0.25">
      <c r="C1086"/>
      <c r="D1086"/>
    </row>
    <row r="1087" spans="3:4" x14ac:dyDescent="0.25">
      <c r="C1087"/>
      <c r="D1087"/>
    </row>
    <row r="1088" spans="3:4" x14ac:dyDescent="0.25">
      <c r="C1088"/>
      <c r="D1088"/>
    </row>
    <row r="1089" spans="3:4" x14ac:dyDescent="0.25">
      <c r="C1089"/>
      <c r="D1089"/>
    </row>
    <row r="1090" spans="3:4" x14ac:dyDescent="0.25">
      <c r="C1090"/>
      <c r="D1090"/>
    </row>
    <row r="1091" spans="3:4" x14ac:dyDescent="0.25">
      <c r="C1091"/>
      <c r="D1091"/>
    </row>
    <row r="1092" spans="3:4" x14ac:dyDescent="0.25">
      <c r="C1092"/>
      <c r="D1092"/>
    </row>
    <row r="1093" spans="3:4" x14ac:dyDescent="0.25">
      <c r="C1093"/>
      <c r="D1093"/>
    </row>
    <row r="1094" spans="3:4" x14ac:dyDescent="0.25">
      <c r="C1094"/>
      <c r="D1094"/>
    </row>
    <row r="1095" spans="3:4" x14ac:dyDescent="0.25">
      <c r="C1095"/>
      <c r="D1095"/>
    </row>
    <row r="1096" spans="3:4" x14ac:dyDescent="0.25">
      <c r="C1096"/>
      <c r="D1096"/>
    </row>
    <row r="1097" spans="3:4" x14ac:dyDescent="0.25">
      <c r="C1097"/>
      <c r="D1097"/>
    </row>
    <row r="1098" spans="3:4" x14ac:dyDescent="0.25">
      <c r="C1098"/>
      <c r="D1098"/>
    </row>
    <row r="1099" spans="3:4" x14ac:dyDescent="0.25">
      <c r="C1099"/>
      <c r="D1099"/>
    </row>
    <row r="1100" spans="3:4" x14ac:dyDescent="0.25">
      <c r="C1100"/>
      <c r="D1100"/>
    </row>
    <row r="1101" spans="3:4" x14ac:dyDescent="0.25">
      <c r="C1101"/>
      <c r="D1101"/>
    </row>
    <row r="1102" spans="3:4" x14ac:dyDescent="0.25">
      <c r="C1102"/>
      <c r="D1102"/>
    </row>
    <row r="1103" spans="3:4" x14ac:dyDescent="0.25">
      <c r="C1103"/>
      <c r="D1103"/>
    </row>
    <row r="1104" spans="3:4" x14ac:dyDescent="0.25">
      <c r="C1104"/>
      <c r="D1104"/>
    </row>
    <row r="1105" spans="3:4" x14ac:dyDescent="0.25">
      <c r="C1105"/>
      <c r="D1105"/>
    </row>
    <row r="1106" spans="3:4" x14ac:dyDescent="0.25">
      <c r="C1106"/>
      <c r="D1106"/>
    </row>
    <row r="1107" spans="3:4" x14ac:dyDescent="0.25">
      <c r="C1107"/>
      <c r="D1107"/>
    </row>
    <row r="1108" spans="3:4" x14ac:dyDescent="0.25">
      <c r="C1108"/>
      <c r="D1108"/>
    </row>
    <row r="1109" spans="3:4" x14ac:dyDescent="0.25">
      <c r="C1109"/>
      <c r="D1109"/>
    </row>
    <row r="1110" spans="3:4" x14ac:dyDescent="0.25">
      <c r="C1110"/>
      <c r="D1110"/>
    </row>
    <row r="1111" spans="3:4" x14ac:dyDescent="0.25">
      <c r="C1111"/>
      <c r="D1111"/>
    </row>
    <row r="1112" spans="3:4" x14ac:dyDescent="0.25">
      <c r="C1112"/>
      <c r="D1112"/>
    </row>
    <row r="1113" spans="3:4" x14ac:dyDescent="0.25">
      <c r="C1113"/>
      <c r="D1113"/>
    </row>
    <row r="1114" spans="3:4" x14ac:dyDescent="0.25">
      <c r="C1114"/>
      <c r="D1114"/>
    </row>
    <row r="1115" spans="3:4" x14ac:dyDescent="0.25">
      <c r="C1115"/>
      <c r="D1115"/>
    </row>
    <row r="1116" spans="3:4" x14ac:dyDescent="0.25">
      <c r="C1116"/>
      <c r="D1116"/>
    </row>
    <row r="1117" spans="3:4" x14ac:dyDescent="0.25">
      <c r="C1117"/>
      <c r="D1117"/>
    </row>
    <row r="1118" spans="3:4" x14ac:dyDescent="0.25">
      <c r="C1118"/>
      <c r="D1118"/>
    </row>
    <row r="1119" spans="3:4" x14ac:dyDescent="0.25">
      <c r="C1119"/>
      <c r="D1119"/>
    </row>
    <row r="1120" spans="3:4" x14ac:dyDescent="0.25">
      <c r="C1120"/>
      <c r="D1120"/>
    </row>
    <row r="1121" spans="3:4" x14ac:dyDescent="0.25">
      <c r="C1121"/>
      <c r="D1121"/>
    </row>
    <row r="1122" spans="3:4" x14ac:dyDescent="0.25">
      <c r="C1122"/>
      <c r="D1122"/>
    </row>
    <row r="1123" spans="3:4" x14ac:dyDescent="0.25">
      <c r="C1123"/>
      <c r="D1123"/>
    </row>
    <row r="1124" spans="3:4" x14ac:dyDescent="0.25">
      <c r="C1124"/>
      <c r="D1124"/>
    </row>
    <row r="1125" spans="3:4" x14ac:dyDescent="0.25">
      <c r="C1125"/>
      <c r="D1125"/>
    </row>
    <row r="1126" spans="3:4" x14ac:dyDescent="0.25">
      <c r="C1126"/>
      <c r="D1126"/>
    </row>
    <row r="1127" spans="3:4" x14ac:dyDescent="0.25">
      <c r="C1127"/>
      <c r="D1127"/>
    </row>
    <row r="1128" spans="3:4" x14ac:dyDescent="0.25">
      <c r="C1128"/>
      <c r="D1128"/>
    </row>
    <row r="1129" spans="3:4" x14ac:dyDescent="0.25">
      <c r="C1129"/>
      <c r="D1129"/>
    </row>
    <row r="1130" spans="3:4" x14ac:dyDescent="0.25">
      <c r="C1130"/>
      <c r="D1130"/>
    </row>
    <row r="1131" spans="3:4" x14ac:dyDescent="0.25">
      <c r="C1131"/>
      <c r="D1131"/>
    </row>
    <row r="1132" spans="3:4" x14ac:dyDescent="0.25">
      <c r="C1132"/>
      <c r="D1132"/>
    </row>
    <row r="1133" spans="3:4" x14ac:dyDescent="0.25">
      <c r="C1133"/>
      <c r="D1133"/>
    </row>
    <row r="1134" spans="3:4" x14ac:dyDescent="0.25">
      <c r="C1134"/>
      <c r="D1134"/>
    </row>
    <row r="1135" spans="3:4" x14ac:dyDescent="0.25">
      <c r="C1135"/>
      <c r="D1135"/>
    </row>
    <row r="1136" spans="3:4" x14ac:dyDescent="0.25">
      <c r="C1136"/>
      <c r="D1136"/>
    </row>
    <row r="1137" spans="3:4" x14ac:dyDescent="0.25">
      <c r="C1137"/>
      <c r="D1137"/>
    </row>
    <row r="1138" spans="3:4" x14ac:dyDescent="0.25">
      <c r="C1138"/>
      <c r="D1138"/>
    </row>
    <row r="1139" spans="3:4" x14ac:dyDescent="0.25">
      <c r="C1139"/>
      <c r="D1139"/>
    </row>
    <row r="1140" spans="3:4" x14ac:dyDescent="0.25">
      <c r="C1140"/>
      <c r="D1140"/>
    </row>
    <row r="1141" spans="3:4" x14ac:dyDescent="0.25">
      <c r="C1141"/>
      <c r="D1141"/>
    </row>
    <row r="1142" spans="3:4" x14ac:dyDescent="0.25">
      <c r="C1142"/>
      <c r="D1142"/>
    </row>
    <row r="1143" spans="3:4" x14ac:dyDescent="0.25">
      <c r="C1143"/>
      <c r="D1143"/>
    </row>
    <row r="1144" spans="3:4" x14ac:dyDescent="0.25">
      <c r="C1144"/>
      <c r="D1144"/>
    </row>
    <row r="1145" spans="3:4" x14ac:dyDescent="0.25">
      <c r="C1145"/>
      <c r="D1145"/>
    </row>
    <row r="1146" spans="3:4" x14ac:dyDescent="0.25">
      <c r="C1146"/>
      <c r="D1146"/>
    </row>
    <row r="1147" spans="3:4" x14ac:dyDescent="0.25">
      <c r="C1147"/>
      <c r="D1147"/>
    </row>
    <row r="1148" spans="3:4" x14ac:dyDescent="0.25">
      <c r="C1148"/>
      <c r="D1148"/>
    </row>
    <row r="1149" spans="3:4" x14ac:dyDescent="0.25">
      <c r="C1149"/>
      <c r="D1149"/>
    </row>
    <row r="1150" spans="3:4" x14ac:dyDescent="0.25">
      <c r="C1150"/>
      <c r="D1150"/>
    </row>
    <row r="1151" spans="3:4" x14ac:dyDescent="0.25">
      <c r="C1151"/>
      <c r="D1151"/>
    </row>
    <row r="1152" spans="3:4" x14ac:dyDescent="0.25">
      <c r="C1152"/>
      <c r="D1152"/>
    </row>
    <row r="1153" spans="3:4" x14ac:dyDescent="0.25">
      <c r="C1153"/>
      <c r="D1153"/>
    </row>
    <row r="1154" spans="3:4" x14ac:dyDescent="0.25">
      <c r="C1154"/>
      <c r="D1154"/>
    </row>
    <row r="1155" spans="3:4" x14ac:dyDescent="0.25">
      <c r="C1155"/>
      <c r="D1155"/>
    </row>
    <row r="1156" spans="3:4" x14ac:dyDescent="0.25">
      <c r="C1156"/>
      <c r="D1156"/>
    </row>
    <row r="1157" spans="3:4" x14ac:dyDescent="0.25">
      <c r="C1157"/>
      <c r="D1157"/>
    </row>
    <row r="1158" spans="3:4" x14ac:dyDescent="0.25">
      <c r="C1158"/>
      <c r="D1158"/>
    </row>
    <row r="1159" spans="3:4" x14ac:dyDescent="0.25">
      <c r="C1159"/>
      <c r="D1159"/>
    </row>
    <row r="1160" spans="3:4" x14ac:dyDescent="0.25">
      <c r="C1160"/>
      <c r="D1160"/>
    </row>
    <row r="1161" spans="3:4" x14ac:dyDescent="0.25">
      <c r="C1161"/>
      <c r="D1161"/>
    </row>
    <row r="1162" spans="3:4" x14ac:dyDescent="0.25">
      <c r="C1162"/>
      <c r="D1162"/>
    </row>
    <row r="1163" spans="3:4" x14ac:dyDescent="0.25">
      <c r="C1163"/>
      <c r="D1163"/>
    </row>
    <row r="1164" spans="3:4" x14ac:dyDescent="0.25">
      <c r="C1164"/>
      <c r="D1164"/>
    </row>
    <row r="1165" spans="3:4" x14ac:dyDescent="0.25">
      <c r="C1165"/>
      <c r="D1165"/>
    </row>
    <row r="1166" spans="3:4" x14ac:dyDescent="0.25">
      <c r="C1166"/>
      <c r="D1166"/>
    </row>
    <row r="1167" spans="3:4" x14ac:dyDescent="0.25">
      <c r="C1167"/>
      <c r="D1167"/>
    </row>
    <row r="1168" spans="3:4" x14ac:dyDescent="0.25">
      <c r="C1168"/>
      <c r="D1168"/>
    </row>
    <row r="1169" spans="3:4" x14ac:dyDescent="0.25">
      <c r="C1169"/>
      <c r="D1169"/>
    </row>
    <row r="1170" spans="3:4" x14ac:dyDescent="0.25">
      <c r="C1170"/>
      <c r="D1170"/>
    </row>
    <row r="1171" spans="3:4" x14ac:dyDescent="0.25">
      <c r="C1171"/>
      <c r="D1171"/>
    </row>
    <row r="1172" spans="3:4" x14ac:dyDescent="0.25">
      <c r="C1172"/>
      <c r="D1172"/>
    </row>
    <row r="1173" spans="3:4" x14ac:dyDescent="0.25">
      <c r="C1173"/>
      <c r="D1173"/>
    </row>
    <row r="1174" spans="3:4" x14ac:dyDescent="0.25">
      <c r="C1174"/>
      <c r="D1174"/>
    </row>
    <row r="1175" spans="3:4" x14ac:dyDescent="0.25">
      <c r="C1175"/>
      <c r="D1175"/>
    </row>
    <row r="1176" spans="3:4" x14ac:dyDescent="0.25">
      <c r="C1176"/>
      <c r="D1176"/>
    </row>
    <row r="1177" spans="3:4" x14ac:dyDescent="0.25">
      <c r="C1177"/>
      <c r="D1177"/>
    </row>
    <row r="1178" spans="3:4" x14ac:dyDescent="0.25">
      <c r="C1178"/>
      <c r="D1178"/>
    </row>
    <row r="1179" spans="3:4" x14ac:dyDescent="0.25">
      <c r="C1179"/>
      <c r="D1179"/>
    </row>
    <row r="1180" spans="3:4" x14ac:dyDescent="0.25">
      <c r="C1180"/>
      <c r="D1180"/>
    </row>
    <row r="1181" spans="3:4" x14ac:dyDescent="0.25">
      <c r="C1181"/>
      <c r="D1181"/>
    </row>
    <row r="1182" spans="3:4" x14ac:dyDescent="0.25">
      <c r="C1182"/>
      <c r="D1182"/>
    </row>
    <row r="1183" spans="3:4" x14ac:dyDescent="0.25">
      <c r="C1183"/>
      <c r="D1183"/>
    </row>
    <row r="1184" spans="3:4" x14ac:dyDescent="0.25">
      <c r="C1184"/>
      <c r="D1184"/>
    </row>
    <row r="1185" spans="3:4" x14ac:dyDescent="0.25">
      <c r="C1185"/>
      <c r="D1185"/>
    </row>
    <row r="1186" spans="3:4" x14ac:dyDescent="0.25">
      <c r="C1186"/>
      <c r="D1186"/>
    </row>
    <row r="1187" spans="3:4" x14ac:dyDescent="0.25">
      <c r="C1187"/>
      <c r="D1187"/>
    </row>
    <row r="1188" spans="3:4" x14ac:dyDescent="0.25">
      <c r="C1188"/>
      <c r="D1188"/>
    </row>
    <row r="1189" spans="3:4" x14ac:dyDescent="0.25">
      <c r="C1189"/>
      <c r="D1189"/>
    </row>
    <row r="1190" spans="3:4" x14ac:dyDescent="0.25">
      <c r="C1190"/>
      <c r="D1190"/>
    </row>
    <row r="1191" spans="3:4" x14ac:dyDescent="0.25">
      <c r="C1191"/>
      <c r="D1191"/>
    </row>
    <row r="1192" spans="3:4" x14ac:dyDescent="0.25">
      <c r="C1192"/>
      <c r="D1192"/>
    </row>
    <row r="1193" spans="3:4" x14ac:dyDescent="0.25">
      <c r="C1193"/>
      <c r="D1193"/>
    </row>
    <row r="1194" spans="3:4" x14ac:dyDescent="0.25">
      <c r="C1194"/>
      <c r="D1194"/>
    </row>
    <row r="1195" spans="3:4" x14ac:dyDescent="0.25">
      <c r="C1195"/>
      <c r="D1195"/>
    </row>
    <row r="1196" spans="3:4" x14ac:dyDescent="0.25">
      <c r="C1196"/>
      <c r="D1196"/>
    </row>
    <row r="1197" spans="3:4" x14ac:dyDescent="0.25">
      <c r="C1197"/>
      <c r="D1197"/>
    </row>
    <row r="1198" spans="3:4" x14ac:dyDescent="0.25">
      <c r="C1198"/>
      <c r="D1198"/>
    </row>
    <row r="1199" spans="3:4" x14ac:dyDescent="0.25">
      <c r="C1199"/>
      <c r="D1199"/>
    </row>
    <row r="1200" spans="3:4" x14ac:dyDescent="0.25">
      <c r="C1200"/>
      <c r="D1200"/>
    </row>
    <row r="1201" spans="3:4" x14ac:dyDescent="0.25">
      <c r="C1201"/>
      <c r="D1201"/>
    </row>
    <row r="1202" spans="3:4" x14ac:dyDescent="0.25">
      <c r="C1202"/>
      <c r="D1202"/>
    </row>
    <row r="1203" spans="3:4" x14ac:dyDescent="0.25">
      <c r="C1203"/>
      <c r="D1203"/>
    </row>
    <row r="1204" spans="3:4" x14ac:dyDescent="0.25">
      <c r="C1204"/>
      <c r="D1204"/>
    </row>
    <row r="1205" spans="3:4" x14ac:dyDescent="0.25">
      <c r="C1205"/>
      <c r="D1205"/>
    </row>
    <row r="1206" spans="3:4" x14ac:dyDescent="0.25">
      <c r="C1206"/>
      <c r="D1206"/>
    </row>
    <row r="1207" spans="3:4" x14ac:dyDescent="0.25">
      <c r="C1207"/>
      <c r="D1207"/>
    </row>
    <row r="1208" spans="3:4" x14ac:dyDescent="0.25">
      <c r="C1208"/>
      <c r="D1208"/>
    </row>
    <row r="1209" spans="3:4" x14ac:dyDescent="0.25">
      <c r="C1209"/>
      <c r="D1209"/>
    </row>
    <row r="1210" spans="3:4" x14ac:dyDescent="0.25">
      <c r="C1210"/>
      <c r="D1210"/>
    </row>
    <row r="1211" spans="3:4" x14ac:dyDescent="0.25">
      <c r="C1211"/>
      <c r="D1211"/>
    </row>
    <row r="1212" spans="3:4" x14ac:dyDescent="0.25">
      <c r="C1212"/>
      <c r="D1212"/>
    </row>
    <row r="1213" spans="3:4" x14ac:dyDescent="0.25">
      <c r="C1213"/>
      <c r="D1213"/>
    </row>
    <row r="1214" spans="3:4" x14ac:dyDescent="0.25">
      <c r="C1214"/>
      <c r="D1214"/>
    </row>
    <row r="1215" spans="3:4" x14ac:dyDescent="0.25">
      <c r="C1215"/>
      <c r="D1215"/>
    </row>
    <row r="1216" spans="3:4" x14ac:dyDescent="0.25">
      <c r="C1216"/>
      <c r="D1216"/>
    </row>
    <row r="1217" spans="3:4" x14ac:dyDescent="0.25">
      <c r="C1217"/>
      <c r="D1217"/>
    </row>
    <row r="1218" spans="3:4" x14ac:dyDescent="0.25">
      <c r="C1218"/>
      <c r="D1218"/>
    </row>
    <row r="1219" spans="3:4" x14ac:dyDescent="0.25">
      <c r="C1219"/>
      <c r="D1219"/>
    </row>
    <row r="1220" spans="3:4" x14ac:dyDescent="0.25">
      <c r="C1220"/>
      <c r="D1220"/>
    </row>
    <row r="1221" spans="3:4" x14ac:dyDescent="0.25">
      <c r="C1221"/>
      <c r="D1221"/>
    </row>
    <row r="1222" spans="3:4" x14ac:dyDescent="0.25">
      <c r="C1222"/>
      <c r="D1222"/>
    </row>
    <row r="1223" spans="3:4" x14ac:dyDescent="0.25">
      <c r="C1223"/>
      <c r="D1223"/>
    </row>
    <row r="1224" spans="3:4" x14ac:dyDescent="0.25">
      <c r="C1224"/>
      <c r="D1224"/>
    </row>
    <row r="1225" spans="3:4" x14ac:dyDescent="0.25">
      <c r="C1225"/>
      <c r="D1225"/>
    </row>
    <row r="1226" spans="3:4" x14ac:dyDescent="0.25">
      <c r="C1226"/>
      <c r="D1226"/>
    </row>
    <row r="1227" spans="3:4" x14ac:dyDescent="0.25">
      <c r="C1227"/>
      <c r="D1227"/>
    </row>
    <row r="1228" spans="3:4" x14ac:dyDescent="0.25">
      <c r="C1228"/>
      <c r="D1228"/>
    </row>
    <row r="1229" spans="3:4" x14ac:dyDescent="0.25">
      <c r="C1229"/>
      <c r="D1229"/>
    </row>
    <row r="1230" spans="3:4" x14ac:dyDescent="0.25">
      <c r="C1230"/>
      <c r="D1230"/>
    </row>
    <row r="1231" spans="3:4" x14ac:dyDescent="0.25">
      <c r="C1231"/>
      <c r="D1231"/>
    </row>
    <row r="1232" spans="3:4" x14ac:dyDescent="0.25">
      <c r="C1232"/>
      <c r="D1232"/>
    </row>
    <row r="1233" spans="3:4" x14ac:dyDescent="0.25">
      <c r="C1233"/>
      <c r="D1233"/>
    </row>
    <row r="1234" spans="3:4" x14ac:dyDescent="0.25">
      <c r="C1234"/>
      <c r="D1234"/>
    </row>
    <row r="1235" spans="3:4" x14ac:dyDescent="0.25">
      <c r="C1235"/>
      <c r="D1235"/>
    </row>
    <row r="1236" spans="3:4" x14ac:dyDescent="0.25">
      <c r="C1236"/>
      <c r="D1236"/>
    </row>
    <row r="1237" spans="3:4" x14ac:dyDescent="0.25">
      <c r="C1237"/>
      <c r="D1237"/>
    </row>
    <row r="1238" spans="3:4" x14ac:dyDescent="0.25">
      <c r="C1238"/>
      <c r="D1238"/>
    </row>
    <row r="1239" spans="3:4" x14ac:dyDescent="0.25">
      <c r="C1239"/>
      <c r="D1239"/>
    </row>
    <row r="1240" spans="3:4" x14ac:dyDescent="0.25">
      <c r="C1240"/>
      <c r="D1240"/>
    </row>
    <row r="1241" spans="3:4" x14ac:dyDescent="0.25">
      <c r="C1241"/>
      <c r="D1241"/>
    </row>
    <row r="1242" spans="3:4" x14ac:dyDescent="0.25">
      <c r="C1242"/>
      <c r="D1242"/>
    </row>
    <row r="1243" spans="3:4" x14ac:dyDescent="0.25">
      <c r="C1243"/>
      <c r="D1243"/>
    </row>
    <row r="1244" spans="3:4" x14ac:dyDescent="0.25">
      <c r="C1244"/>
      <c r="D1244"/>
    </row>
    <row r="1245" spans="3:4" x14ac:dyDescent="0.25">
      <c r="C1245"/>
      <c r="D1245"/>
    </row>
    <row r="1246" spans="3:4" x14ac:dyDescent="0.25">
      <c r="C1246"/>
      <c r="D1246"/>
    </row>
    <row r="1247" spans="3:4" x14ac:dyDescent="0.25">
      <c r="C1247"/>
      <c r="D1247"/>
    </row>
    <row r="1248" spans="3:4" x14ac:dyDescent="0.25">
      <c r="C1248"/>
      <c r="D1248"/>
    </row>
    <row r="1249" spans="3:4" x14ac:dyDescent="0.25">
      <c r="C1249"/>
      <c r="D1249"/>
    </row>
    <row r="1250" spans="3:4" x14ac:dyDescent="0.25">
      <c r="C1250"/>
      <c r="D1250"/>
    </row>
    <row r="1251" spans="3:4" x14ac:dyDescent="0.25">
      <c r="C1251"/>
      <c r="D1251"/>
    </row>
    <row r="1252" spans="3:4" x14ac:dyDescent="0.25">
      <c r="C1252"/>
      <c r="D1252"/>
    </row>
    <row r="1253" spans="3:4" x14ac:dyDescent="0.25">
      <c r="C1253"/>
      <c r="D1253"/>
    </row>
    <row r="1254" spans="3:4" x14ac:dyDescent="0.25">
      <c r="C1254"/>
      <c r="D1254"/>
    </row>
    <row r="1255" spans="3:4" x14ac:dyDescent="0.25">
      <c r="C1255"/>
      <c r="D1255"/>
    </row>
    <row r="1256" spans="3:4" x14ac:dyDescent="0.25">
      <c r="C1256"/>
      <c r="D1256"/>
    </row>
    <row r="1257" spans="3:4" x14ac:dyDescent="0.25">
      <c r="C1257"/>
      <c r="D1257"/>
    </row>
    <row r="1258" spans="3:4" x14ac:dyDescent="0.25">
      <c r="C1258"/>
      <c r="D1258"/>
    </row>
    <row r="1259" spans="3:4" x14ac:dyDescent="0.25">
      <c r="C1259"/>
      <c r="D1259"/>
    </row>
    <row r="1260" spans="3:4" x14ac:dyDescent="0.25">
      <c r="C1260"/>
      <c r="D1260"/>
    </row>
    <row r="1261" spans="3:4" x14ac:dyDescent="0.25">
      <c r="C1261"/>
      <c r="D1261"/>
    </row>
    <row r="1262" spans="3:4" x14ac:dyDescent="0.25">
      <c r="C1262"/>
      <c r="D1262"/>
    </row>
    <row r="1263" spans="3:4" x14ac:dyDescent="0.25">
      <c r="C1263"/>
      <c r="D1263"/>
    </row>
    <row r="1264" spans="3:4" x14ac:dyDescent="0.25">
      <c r="C1264"/>
      <c r="D1264"/>
    </row>
    <row r="1265" spans="3:4" x14ac:dyDescent="0.25">
      <c r="C1265"/>
      <c r="D1265"/>
    </row>
    <row r="1266" spans="3:4" x14ac:dyDescent="0.25">
      <c r="C1266"/>
      <c r="D1266"/>
    </row>
    <row r="1267" spans="3:4" x14ac:dyDescent="0.25">
      <c r="C1267"/>
      <c r="D1267"/>
    </row>
    <row r="1268" spans="3:4" x14ac:dyDescent="0.25">
      <c r="C1268"/>
      <c r="D1268"/>
    </row>
    <row r="1269" spans="3:4" x14ac:dyDescent="0.25">
      <c r="C1269"/>
      <c r="D1269"/>
    </row>
    <row r="1270" spans="3:4" x14ac:dyDescent="0.25">
      <c r="C1270"/>
      <c r="D1270"/>
    </row>
    <row r="1271" spans="3:4" x14ac:dyDescent="0.25">
      <c r="C1271"/>
      <c r="D1271"/>
    </row>
    <row r="1272" spans="3:4" x14ac:dyDescent="0.25">
      <c r="C1272"/>
      <c r="D1272"/>
    </row>
    <row r="1273" spans="3:4" x14ac:dyDescent="0.25">
      <c r="C1273"/>
      <c r="D1273"/>
    </row>
    <row r="1274" spans="3:4" x14ac:dyDescent="0.25">
      <c r="C1274"/>
      <c r="D1274"/>
    </row>
    <row r="1275" spans="3:4" x14ac:dyDescent="0.25">
      <c r="C1275"/>
      <c r="D1275"/>
    </row>
    <row r="1276" spans="3:4" x14ac:dyDescent="0.25">
      <c r="C1276"/>
      <c r="D1276"/>
    </row>
    <row r="1277" spans="3:4" x14ac:dyDescent="0.25">
      <c r="C1277"/>
      <c r="D1277"/>
    </row>
    <row r="1278" spans="3:4" x14ac:dyDescent="0.25">
      <c r="C1278"/>
      <c r="D1278"/>
    </row>
    <row r="1279" spans="3:4" x14ac:dyDescent="0.25">
      <c r="C1279"/>
      <c r="D1279"/>
    </row>
    <row r="1280" spans="3:4" x14ac:dyDescent="0.25">
      <c r="C1280"/>
      <c r="D1280"/>
    </row>
    <row r="1281" spans="3:4" x14ac:dyDescent="0.25">
      <c r="C1281"/>
      <c r="D1281"/>
    </row>
    <row r="1282" spans="3:4" x14ac:dyDescent="0.25">
      <c r="C1282"/>
      <c r="D1282"/>
    </row>
    <row r="1283" spans="3:4" x14ac:dyDescent="0.25">
      <c r="C1283"/>
      <c r="D1283"/>
    </row>
    <row r="1284" spans="3:4" x14ac:dyDescent="0.25">
      <c r="C1284"/>
      <c r="D1284"/>
    </row>
    <row r="1285" spans="3:4" x14ac:dyDescent="0.25">
      <c r="C1285"/>
      <c r="D1285"/>
    </row>
    <row r="1286" spans="3:4" x14ac:dyDescent="0.25">
      <c r="C1286"/>
      <c r="D1286"/>
    </row>
    <row r="1287" spans="3:4" x14ac:dyDescent="0.25">
      <c r="C1287"/>
      <c r="D1287"/>
    </row>
    <row r="1288" spans="3:4" x14ac:dyDescent="0.25">
      <c r="C1288"/>
      <c r="D1288"/>
    </row>
    <row r="1289" spans="3:4" x14ac:dyDescent="0.25">
      <c r="C1289"/>
      <c r="D1289"/>
    </row>
    <row r="1290" spans="3:4" x14ac:dyDescent="0.25">
      <c r="C1290"/>
      <c r="D1290"/>
    </row>
    <row r="1291" spans="3:4" x14ac:dyDescent="0.25">
      <c r="C1291"/>
      <c r="D1291"/>
    </row>
    <row r="1292" spans="3:4" x14ac:dyDescent="0.25">
      <c r="C1292"/>
      <c r="D1292"/>
    </row>
    <row r="1293" spans="3:4" x14ac:dyDescent="0.25">
      <c r="C1293"/>
      <c r="D1293"/>
    </row>
    <row r="1294" spans="3:4" x14ac:dyDescent="0.25">
      <c r="C1294"/>
      <c r="D1294"/>
    </row>
    <row r="1295" spans="3:4" x14ac:dyDescent="0.25">
      <c r="C1295"/>
      <c r="D1295"/>
    </row>
    <row r="1296" spans="3:4" x14ac:dyDescent="0.25">
      <c r="C1296"/>
      <c r="D1296"/>
    </row>
    <row r="1297" spans="3:4" x14ac:dyDescent="0.25">
      <c r="C1297"/>
      <c r="D1297"/>
    </row>
    <row r="1298" spans="3:4" x14ac:dyDescent="0.25">
      <c r="C1298"/>
      <c r="D1298"/>
    </row>
    <row r="1299" spans="3:4" x14ac:dyDescent="0.25">
      <c r="C1299"/>
      <c r="D1299"/>
    </row>
    <row r="1300" spans="3:4" x14ac:dyDescent="0.25">
      <c r="C1300"/>
      <c r="D1300"/>
    </row>
    <row r="1301" spans="3:4" x14ac:dyDescent="0.25">
      <c r="C1301"/>
      <c r="D1301"/>
    </row>
    <row r="1302" spans="3:4" x14ac:dyDescent="0.25">
      <c r="C1302"/>
      <c r="D1302"/>
    </row>
    <row r="1303" spans="3:4" x14ac:dyDescent="0.25">
      <c r="C1303"/>
      <c r="D1303"/>
    </row>
    <row r="1304" spans="3:4" x14ac:dyDescent="0.25">
      <c r="C1304"/>
      <c r="D1304"/>
    </row>
    <row r="1305" spans="3:4" x14ac:dyDescent="0.25">
      <c r="C1305"/>
      <c r="D1305"/>
    </row>
    <row r="1306" spans="3:4" x14ac:dyDescent="0.25">
      <c r="C1306"/>
      <c r="D1306"/>
    </row>
    <row r="1307" spans="3:4" x14ac:dyDescent="0.25">
      <c r="C1307"/>
      <c r="D1307"/>
    </row>
    <row r="1308" spans="3:4" x14ac:dyDescent="0.25">
      <c r="C1308"/>
      <c r="D1308"/>
    </row>
    <row r="1309" spans="3:4" x14ac:dyDescent="0.25">
      <c r="C1309"/>
      <c r="D1309"/>
    </row>
    <row r="1310" spans="3:4" x14ac:dyDescent="0.25">
      <c r="C1310"/>
      <c r="D1310"/>
    </row>
    <row r="1311" spans="3:4" x14ac:dyDescent="0.25">
      <c r="C1311"/>
      <c r="D1311"/>
    </row>
    <row r="1312" spans="3:4" x14ac:dyDescent="0.25">
      <c r="C1312"/>
      <c r="D1312"/>
    </row>
    <row r="1313" spans="3:4" x14ac:dyDescent="0.25">
      <c r="C1313"/>
      <c r="D1313"/>
    </row>
    <row r="1314" spans="3:4" x14ac:dyDescent="0.25">
      <c r="C1314"/>
      <c r="D1314"/>
    </row>
    <row r="1315" spans="3:4" x14ac:dyDescent="0.25">
      <c r="C1315"/>
      <c r="D1315"/>
    </row>
    <row r="1316" spans="3:4" x14ac:dyDescent="0.25">
      <c r="C1316"/>
      <c r="D1316"/>
    </row>
    <row r="1317" spans="3:4" x14ac:dyDescent="0.25">
      <c r="C1317"/>
      <c r="D1317"/>
    </row>
    <row r="1318" spans="3:4" x14ac:dyDescent="0.25">
      <c r="C1318"/>
      <c r="D1318"/>
    </row>
    <row r="1319" spans="3:4" x14ac:dyDescent="0.25">
      <c r="C1319"/>
      <c r="D1319"/>
    </row>
    <row r="1320" spans="3:4" x14ac:dyDescent="0.25">
      <c r="C1320"/>
      <c r="D1320"/>
    </row>
    <row r="1321" spans="3:4" x14ac:dyDescent="0.25">
      <c r="C1321"/>
      <c r="D1321"/>
    </row>
    <row r="1322" spans="3:4" x14ac:dyDescent="0.25">
      <c r="C1322"/>
      <c r="D1322"/>
    </row>
    <row r="1323" spans="3:4" x14ac:dyDescent="0.25">
      <c r="C1323"/>
      <c r="D1323"/>
    </row>
    <row r="1324" spans="3:4" x14ac:dyDescent="0.25">
      <c r="C1324"/>
      <c r="D1324"/>
    </row>
    <row r="1325" spans="3:4" x14ac:dyDescent="0.25">
      <c r="C1325"/>
      <c r="D1325"/>
    </row>
    <row r="1326" spans="3:4" x14ac:dyDescent="0.25">
      <c r="C1326"/>
      <c r="D1326"/>
    </row>
    <row r="1327" spans="3:4" x14ac:dyDescent="0.25">
      <c r="C1327"/>
      <c r="D1327"/>
    </row>
    <row r="1328" spans="3:4" x14ac:dyDescent="0.25">
      <c r="C1328"/>
      <c r="D1328"/>
    </row>
    <row r="1329" spans="3:4" x14ac:dyDescent="0.25">
      <c r="C1329"/>
      <c r="D1329"/>
    </row>
    <row r="1330" spans="3:4" x14ac:dyDescent="0.25">
      <c r="C1330"/>
      <c r="D1330"/>
    </row>
    <row r="1331" spans="3:4" x14ac:dyDescent="0.25">
      <c r="C1331"/>
      <c r="D1331"/>
    </row>
    <row r="1332" spans="3:4" x14ac:dyDescent="0.25">
      <c r="C1332"/>
      <c r="D1332"/>
    </row>
    <row r="1333" spans="3:4" x14ac:dyDescent="0.25">
      <c r="C1333"/>
      <c r="D1333"/>
    </row>
    <row r="1334" spans="3:4" x14ac:dyDescent="0.25">
      <c r="C1334"/>
      <c r="D1334"/>
    </row>
    <row r="1335" spans="3:4" x14ac:dyDescent="0.25">
      <c r="C1335"/>
      <c r="D1335"/>
    </row>
    <row r="1336" spans="3:4" x14ac:dyDescent="0.25">
      <c r="C1336"/>
      <c r="D1336"/>
    </row>
    <row r="1337" spans="3:4" x14ac:dyDescent="0.25">
      <c r="C1337"/>
      <c r="D1337"/>
    </row>
    <row r="1338" spans="3:4" x14ac:dyDescent="0.25">
      <c r="C1338"/>
      <c r="D1338"/>
    </row>
    <row r="1339" spans="3:4" x14ac:dyDescent="0.25">
      <c r="C1339"/>
      <c r="D1339"/>
    </row>
    <row r="1340" spans="3:4" x14ac:dyDescent="0.25">
      <c r="C1340"/>
      <c r="D1340"/>
    </row>
    <row r="1341" spans="3:4" x14ac:dyDescent="0.25">
      <c r="C1341"/>
      <c r="D1341"/>
    </row>
    <row r="1342" spans="3:4" x14ac:dyDescent="0.25">
      <c r="C1342"/>
      <c r="D1342"/>
    </row>
    <row r="1343" spans="3:4" x14ac:dyDescent="0.25">
      <c r="C1343"/>
      <c r="D1343"/>
    </row>
    <row r="1344" spans="3:4" x14ac:dyDescent="0.25">
      <c r="C1344"/>
      <c r="D1344"/>
    </row>
    <row r="1345" spans="3:4" x14ac:dyDescent="0.25">
      <c r="C1345"/>
      <c r="D1345"/>
    </row>
    <row r="1346" spans="3:4" x14ac:dyDescent="0.25">
      <c r="C1346"/>
      <c r="D1346"/>
    </row>
    <row r="1347" spans="3:4" x14ac:dyDescent="0.25">
      <c r="C1347"/>
      <c r="D1347"/>
    </row>
    <row r="1348" spans="3:4" x14ac:dyDescent="0.25">
      <c r="C1348"/>
      <c r="D1348"/>
    </row>
    <row r="1349" spans="3:4" x14ac:dyDescent="0.25">
      <c r="C1349"/>
      <c r="D1349"/>
    </row>
    <row r="1350" spans="3:4" x14ac:dyDescent="0.25">
      <c r="C1350"/>
      <c r="D1350"/>
    </row>
    <row r="1351" spans="3:4" x14ac:dyDescent="0.25">
      <c r="C1351"/>
      <c r="D1351"/>
    </row>
    <row r="1352" spans="3:4" x14ac:dyDescent="0.25">
      <c r="C1352"/>
      <c r="D1352"/>
    </row>
    <row r="1353" spans="3:4" x14ac:dyDescent="0.25">
      <c r="C1353"/>
      <c r="D1353"/>
    </row>
    <row r="1354" spans="3:4" x14ac:dyDescent="0.25">
      <c r="C1354"/>
      <c r="D1354"/>
    </row>
    <row r="1355" spans="3:4" x14ac:dyDescent="0.25">
      <c r="C1355"/>
      <c r="D1355"/>
    </row>
    <row r="1356" spans="3:4" x14ac:dyDescent="0.25">
      <c r="C1356"/>
      <c r="D1356"/>
    </row>
    <row r="1357" spans="3:4" x14ac:dyDescent="0.25">
      <c r="C1357"/>
      <c r="D1357"/>
    </row>
    <row r="1358" spans="3:4" x14ac:dyDescent="0.25">
      <c r="C1358"/>
      <c r="D1358"/>
    </row>
    <row r="1359" spans="3:4" x14ac:dyDescent="0.25">
      <c r="C1359"/>
      <c r="D1359"/>
    </row>
    <row r="1360" spans="3:4" x14ac:dyDescent="0.25">
      <c r="C1360"/>
      <c r="D1360"/>
    </row>
    <row r="1361" spans="3:4" x14ac:dyDescent="0.25">
      <c r="C1361"/>
      <c r="D1361"/>
    </row>
    <row r="1362" spans="3:4" x14ac:dyDescent="0.25">
      <c r="C1362"/>
      <c r="D1362"/>
    </row>
    <row r="1363" spans="3:4" x14ac:dyDescent="0.25">
      <c r="C1363"/>
      <c r="D1363"/>
    </row>
    <row r="1364" spans="3:4" x14ac:dyDescent="0.25">
      <c r="C1364"/>
      <c r="D1364"/>
    </row>
    <row r="1365" spans="3:4" x14ac:dyDescent="0.25">
      <c r="C1365"/>
      <c r="D1365"/>
    </row>
    <row r="1366" spans="3:4" x14ac:dyDescent="0.25">
      <c r="C1366"/>
      <c r="D1366"/>
    </row>
    <row r="1367" spans="3:4" x14ac:dyDescent="0.25">
      <c r="C1367"/>
      <c r="D1367"/>
    </row>
    <row r="1368" spans="3:4" x14ac:dyDescent="0.25">
      <c r="C1368"/>
      <c r="D1368"/>
    </row>
    <row r="1369" spans="3:4" x14ac:dyDescent="0.25">
      <c r="C1369"/>
      <c r="D1369"/>
    </row>
    <row r="1370" spans="3:4" x14ac:dyDescent="0.25">
      <c r="C1370"/>
      <c r="D1370"/>
    </row>
    <row r="1371" spans="3:4" x14ac:dyDescent="0.25">
      <c r="C1371"/>
      <c r="D1371"/>
    </row>
    <row r="1372" spans="3:4" x14ac:dyDescent="0.25">
      <c r="C1372"/>
      <c r="D1372"/>
    </row>
    <row r="1373" spans="3:4" x14ac:dyDescent="0.25">
      <c r="C1373"/>
      <c r="D1373"/>
    </row>
    <row r="1374" spans="3:4" x14ac:dyDescent="0.25">
      <c r="C1374"/>
      <c r="D1374"/>
    </row>
    <row r="1375" spans="3:4" x14ac:dyDescent="0.25">
      <c r="C1375"/>
      <c r="D1375"/>
    </row>
    <row r="1376" spans="3:4" x14ac:dyDescent="0.25">
      <c r="C1376"/>
      <c r="D1376"/>
    </row>
    <row r="1377" spans="3:4" x14ac:dyDescent="0.25">
      <c r="C1377"/>
      <c r="D1377"/>
    </row>
    <row r="1378" spans="3:4" x14ac:dyDescent="0.25">
      <c r="C1378"/>
      <c r="D1378"/>
    </row>
    <row r="1379" spans="3:4" x14ac:dyDescent="0.25">
      <c r="C1379"/>
      <c r="D1379"/>
    </row>
    <row r="1380" spans="3:4" x14ac:dyDescent="0.25">
      <c r="C1380"/>
      <c r="D1380"/>
    </row>
    <row r="1381" spans="3:4" x14ac:dyDescent="0.25">
      <c r="C1381"/>
      <c r="D1381"/>
    </row>
    <row r="1382" spans="3:4" x14ac:dyDescent="0.25">
      <c r="C1382"/>
      <c r="D1382"/>
    </row>
    <row r="1383" spans="3:4" x14ac:dyDescent="0.25">
      <c r="C1383"/>
      <c r="D1383"/>
    </row>
    <row r="1384" spans="3:4" x14ac:dyDescent="0.25">
      <c r="C1384"/>
      <c r="D1384"/>
    </row>
    <row r="1385" spans="3:4" x14ac:dyDescent="0.25">
      <c r="C1385"/>
      <c r="D1385"/>
    </row>
    <row r="1386" spans="3:4" x14ac:dyDescent="0.25">
      <c r="C1386"/>
      <c r="D1386"/>
    </row>
    <row r="1387" spans="3:4" x14ac:dyDescent="0.25">
      <c r="C1387"/>
      <c r="D1387"/>
    </row>
    <row r="1388" spans="3:4" x14ac:dyDescent="0.25">
      <c r="C1388"/>
      <c r="D1388"/>
    </row>
    <row r="1389" spans="3:4" x14ac:dyDescent="0.25">
      <c r="C1389"/>
      <c r="D1389"/>
    </row>
    <row r="1390" spans="3:4" x14ac:dyDescent="0.25">
      <c r="C1390"/>
      <c r="D1390"/>
    </row>
    <row r="1391" spans="3:4" x14ac:dyDescent="0.25">
      <c r="C1391"/>
      <c r="D1391"/>
    </row>
    <row r="1392" spans="3:4" x14ac:dyDescent="0.25">
      <c r="C1392"/>
      <c r="D1392"/>
    </row>
    <row r="1393" spans="3:4" x14ac:dyDescent="0.25">
      <c r="C1393"/>
      <c r="D1393"/>
    </row>
    <row r="1394" spans="3:4" x14ac:dyDescent="0.25">
      <c r="C1394"/>
      <c r="D1394"/>
    </row>
    <row r="1395" spans="3:4" x14ac:dyDescent="0.25">
      <c r="C1395"/>
      <c r="D1395"/>
    </row>
    <row r="1396" spans="3:4" x14ac:dyDescent="0.25">
      <c r="C1396"/>
      <c r="D1396"/>
    </row>
    <row r="1397" spans="3:4" x14ac:dyDescent="0.25">
      <c r="C1397"/>
      <c r="D1397"/>
    </row>
    <row r="1398" spans="3:4" x14ac:dyDescent="0.25">
      <c r="C1398"/>
      <c r="D1398"/>
    </row>
    <row r="1399" spans="3:4" x14ac:dyDescent="0.25">
      <c r="C1399"/>
      <c r="D1399"/>
    </row>
    <row r="1400" spans="3:4" x14ac:dyDescent="0.25">
      <c r="C1400"/>
      <c r="D1400"/>
    </row>
    <row r="1401" spans="3:4" x14ac:dyDescent="0.25">
      <c r="C1401"/>
      <c r="D1401"/>
    </row>
    <row r="1402" spans="3:4" x14ac:dyDescent="0.25">
      <c r="C1402"/>
      <c r="D1402"/>
    </row>
    <row r="1403" spans="3:4" x14ac:dyDescent="0.25">
      <c r="C1403"/>
      <c r="D1403"/>
    </row>
    <row r="1404" spans="3:4" x14ac:dyDescent="0.25">
      <c r="C1404"/>
      <c r="D1404"/>
    </row>
    <row r="1405" spans="3:4" x14ac:dyDescent="0.25">
      <c r="C1405"/>
      <c r="D1405"/>
    </row>
    <row r="1406" spans="3:4" x14ac:dyDescent="0.25">
      <c r="C1406"/>
      <c r="D1406"/>
    </row>
    <row r="1407" spans="3:4" x14ac:dyDescent="0.25">
      <c r="C1407"/>
      <c r="D1407"/>
    </row>
    <row r="1408" spans="3:4" x14ac:dyDescent="0.25">
      <c r="C1408"/>
      <c r="D1408"/>
    </row>
    <row r="1409" spans="3:4" x14ac:dyDescent="0.25">
      <c r="C1409"/>
      <c r="D1409"/>
    </row>
    <row r="1410" spans="3:4" x14ac:dyDescent="0.25">
      <c r="C1410"/>
      <c r="D1410"/>
    </row>
    <row r="1411" spans="3:4" x14ac:dyDescent="0.25">
      <c r="C1411"/>
      <c r="D1411"/>
    </row>
    <row r="1412" spans="3:4" x14ac:dyDescent="0.25">
      <c r="C1412"/>
      <c r="D1412"/>
    </row>
    <row r="1413" spans="3:4" x14ac:dyDescent="0.25">
      <c r="C1413"/>
      <c r="D1413"/>
    </row>
    <row r="1414" spans="3:4" x14ac:dyDescent="0.25">
      <c r="C1414"/>
      <c r="D1414"/>
    </row>
    <row r="1415" spans="3:4" x14ac:dyDescent="0.25">
      <c r="C1415"/>
      <c r="D1415"/>
    </row>
    <row r="1416" spans="3:4" x14ac:dyDescent="0.25">
      <c r="C1416"/>
      <c r="D1416"/>
    </row>
    <row r="1417" spans="3:4" x14ac:dyDescent="0.25">
      <c r="C1417"/>
      <c r="D1417"/>
    </row>
    <row r="1418" spans="3:4" x14ac:dyDescent="0.25">
      <c r="C1418"/>
      <c r="D1418"/>
    </row>
    <row r="1419" spans="3:4" x14ac:dyDescent="0.25">
      <c r="C1419"/>
      <c r="D1419"/>
    </row>
    <row r="1420" spans="3:4" x14ac:dyDescent="0.25">
      <c r="C1420"/>
      <c r="D1420"/>
    </row>
    <row r="1421" spans="3:4" x14ac:dyDescent="0.25">
      <c r="C1421"/>
      <c r="D1421"/>
    </row>
    <row r="1422" spans="3:4" x14ac:dyDescent="0.25">
      <c r="C1422"/>
      <c r="D1422"/>
    </row>
    <row r="1423" spans="3:4" x14ac:dyDescent="0.25">
      <c r="C1423"/>
      <c r="D1423"/>
    </row>
    <row r="1424" spans="3:4" x14ac:dyDescent="0.25">
      <c r="C1424"/>
      <c r="D1424"/>
    </row>
    <row r="1425" spans="3:4" x14ac:dyDescent="0.25">
      <c r="C1425"/>
      <c r="D1425"/>
    </row>
    <row r="1426" spans="3:4" x14ac:dyDescent="0.25">
      <c r="C1426"/>
      <c r="D1426"/>
    </row>
    <row r="1427" spans="3:4" x14ac:dyDescent="0.25">
      <c r="C1427"/>
      <c r="D1427"/>
    </row>
    <row r="1428" spans="3:4" x14ac:dyDescent="0.25">
      <c r="C1428"/>
      <c r="D1428"/>
    </row>
    <row r="1429" spans="3:4" x14ac:dyDescent="0.25">
      <c r="C1429"/>
      <c r="D1429"/>
    </row>
    <row r="1430" spans="3:4" x14ac:dyDescent="0.25">
      <c r="C1430"/>
      <c r="D1430"/>
    </row>
    <row r="1431" spans="3:4" x14ac:dyDescent="0.25">
      <c r="C1431"/>
      <c r="D1431"/>
    </row>
    <row r="1432" spans="3:4" x14ac:dyDescent="0.25">
      <c r="C1432"/>
      <c r="D1432"/>
    </row>
    <row r="1433" spans="3:4" x14ac:dyDescent="0.25">
      <c r="C1433"/>
      <c r="D1433"/>
    </row>
    <row r="1434" spans="3:4" x14ac:dyDescent="0.25">
      <c r="C1434"/>
      <c r="D1434"/>
    </row>
    <row r="1435" spans="3:4" x14ac:dyDescent="0.25">
      <c r="C1435"/>
      <c r="D1435"/>
    </row>
    <row r="1436" spans="3:4" x14ac:dyDescent="0.25">
      <c r="C1436"/>
      <c r="D1436"/>
    </row>
    <row r="1437" spans="3:4" x14ac:dyDescent="0.25">
      <c r="C1437"/>
      <c r="D1437"/>
    </row>
    <row r="1438" spans="3:4" x14ac:dyDescent="0.25">
      <c r="C1438"/>
      <c r="D1438"/>
    </row>
    <row r="1439" spans="3:4" x14ac:dyDescent="0.25">
      <c r="C1439"/>
      <c r="D1439"/>
    </row>
    <row r="1440" spans="3:4" x14ac:dyDescent="0.25">
      <c r="C1440"/>
      <c r="D1440"/>
    </row>
    <row r="1441" spans="3:4" x14ac:dyDescent="0.25">
      <c r="C1441"/>
      <c r="D1441"/>
    </row>
    <row r="1442" spans="3:4" x14ac:dyDescent="0.25">
      <c r="C1442"/>
      <c r="D1442"/>
    </row>
    <row r="1443" spans="3:4" x14ac:dyDescent="0.25">
      <c r="C1443"/>
      <c r="D1443"/>
    </row>
    <row r="1444" spans="3:4" x14ac:dyDescent="0.25">
      <c r="C1444"/>
      <c r="D1444"/>
    </row>
    <row r="1445" spans="3:4" x14ac:dyDescent="0.25">
      <c r="C1445"/>
      <c r="D1445"/>
    </row>
    <row r="1446" spans="3:4" x14ac:dyDescent="0.25">
      <c r="C1446"/>
      <c r="D1446"/>
    </row>
    <row r="1447" spans="3:4" x14ac:dyDescent="0.25">
      <c r="C1447"/>
      <c r="D1447"/>
    </row>
    <row r="1448" spans="3:4" x14ac:dyDescent="0.25">
      <c r="C1448"/>
      <c r="D1448"/>
    </row>
    <row r="1449" spans="3:4" x14ac:dyDescent="0.25">
      <c r="C1449"/>
      <c r="D1449"/>
    </row>
    <row r="1450" spans="3:4" x14ac:dyDescent="0.25">
      <c r="C1450"/>
      <c r="D1450"/>
    </row>
    <row r="1451" spans="3:4" x14ac:dyDescent="0.25">
      <c r="C1451"/>
      <c r="D1451"/>
    </row>
    <row r="1452" spans="3:4" x14ac:dyDescent="0.25">
      <c r="C1452"/>
      <c r="D1452"/>
    </row>
    <row r="1453" spans="3:4" x14ac:dyDescent="0.25">
      <c r="C1453"/>
      <c r="D1453"/>
    </row>
    <row r="1454" spans="3:4" x14ac:dyDescent="0.25">
      <c r="C1454"/>
      <c r="D1454"/>
    </row>
    <row r="1455" spans="3:4" x14ac:dyDescent="0.25">
      <c r="C1455"/>
      <c r="D1455"/>
    </row>
    <row r="1456" spans="3:4" x14ac:dyDescent="0.25">
      <c r="C1456"/>
      <c r="D1456"/>
    </row>
    <row r="1457" spans="3:4" x14ac:dyDescent="0.25">
      <c r="C1457"/>
      <c r="D1457"/>
    </row>
    <row r="1458" spans="3:4" x14ac:dyDescent="0.25">
      <c r="C1458"/>
      <c r="D1458"/>
    </row>
    <row r="1459" spans="3:4" x14ac:dyDescent="0.25">
      <c r="C1459"/>
      <c r="D1459"/>
    </row>
    <row r="1460" spans="3:4" x14ac:dyDescent="0.25">
      <c r="C1460"/>
      <c r="D1460"/>
    </row>
    <row r="1461" spans="3:4" x14ac:dyDescent="0.25">
      <c r="C1461"/>
      <c r="D1461"/>
    </row>
    <row r="1462" spans="3:4" x14ac:dyDescent="0.25">
      <c r="C1462"/>
      <c r="D1462"/>
    </row>
    <row r="1463" spans="3:4" x14ac:dyDescent="0.25">
      <c r="C1463"/>
      <c r="D1463"/>
    </row>
    <row r="1464" spans="3:4" x14ac:dyDescent="0.25">
      <c r="C1464"/>
      <c r="D1464"/>
    </row>
    <row r="1465" spans="3:4" x14ac:dyDescent="0.25">
      <c r="C1465"/>
      <c r="D1465"/>
    </row>
    <row r="1466" spans="3:4" x14ac:dyDescent="0.25">
      <c r="C1466"/>
      <c r="D1466"/>
    </row>
    <row r="1467" spans="3:4" x14ac:dyDescent="0.25">
      <c r="C1467"/>
      <c r="D1467"/>
    </row>
    <row r="1468" spans="3:4" x14ac:dyDescent="0.25">
      <c r="C1468"/>
      <c r="D1468"/>
    </row>
    <row r="1469" spans="3:4" x14ac:dyDescent="0.25">
      <c r="C1469"/>
      <c r="D1469"/>
    </row>
    <row r="1470" spans="3:4" x14ac:dyDescent="0.25">
      <c r="C1470"/>
      <c r="D1470"/>
    </row>
    <row r="1471" spans="3:4" x14ac:dyDescent="0.25">
      <c r="C1471"/>
      <c r="D1471"/>
    </row>
    <row r="1472" spans="3:4" x14ac:dyDescent="0.25">
      <c r="C1472"/>
      <c r="D1472"/>
    </row>
    <row r="1473" spans="3:4" x14ac:dyDescent="0.25">
      <c r="C1473"/>
      <c r="D1473"/>
    </row>
    <row r="1474" spans="3:4" x14ac:dyDescent="0.25">
      <c r="C1474"/>
      <c r="D1474"/>
    </row>
    <row r="1475" spans="3:4" x14ac:dyDescent="0.25">
      <c r="C1475"/>
      <c r="D1475"/>
    </row>
    <row r="1476" spans="3:4" x14ac:dyDescent="0.25">
      <c r="C1476"/>
      <c r="D1476"/>
    </row>
    <row r="1477" spans="3:4" x14ac:dyDescent="0.25">
      <c r="C1477"/>
      <c r="D1477"/>
    </row>
    <row r="1478" spans="3:4" x14ac:dyDescent="0.25">
      <c r="C1478"/>
      <c r="D1478"/>
    </row>
    <row r="1479" spans="3:4" x14ac:dyDescent="0.25">
      <c r="C1479"/>
      <c r="D1479"/>
    </row>
    <row r="1480" spans="3:4" x14ac:dyDescent="0.25">
      <c r="C1480"/>
      <c r="D1480"/>
    </row>
    <row r="1481" spans="3:4" x14ac:dyDescent="0.25">
      <c r="C1481"/>
      <c r="D1481"/>
    </row>
    <row r="1482" spans="3:4" x14ac:dyDescent="0.25">
      <c r="C1482"/>
      <c r="D1482"/>
    </row>
    <row r="1483" spans="3:4" x14ac:dyDescent="0.25">
      <c r="C1483"/>
      <c r="D1483"/>
    </row>
    <row r="1484" spans="3:4" x14ac:dyDescent="0.25">
      <c r="C1484"/>
      <c r="D1484"/>
    </row>
    <row r="1485" spans="3:4" x14ac:dyDescent="0.25">
      <c r="C1485"/>
      <c r="D1485"/>
    </row>
    <row r="1486" spans="3:4" x14ac:dyDescent="0.25">
      <c r="C1486"/>
      <c r="D1486"/>
    </row>
    <row r="1487" spans="3:4" x14ac:dyDescent="0.25">
      <c r="C1487"/>
      <c r="D1487"/>
    </row>
    <row r="1488" spans="3:4" x14ac:dyDescent="0.25">
      <c r="C1488"/>
      <c r="D1488"/>
    </row>
    <row r="1489" spans="3:4" x14ac:dyDescent="0.25">
      <c r="C1489"/>
      <c r="D1489"/>
    </row>
    <row r="1490" spans="3:4" x14ac:dyDescent="0.25">
      <c r="C1490"/>
      <c r="D1490"/>
    </row>
    <row r="1491" spans="3:4" x14ac:dyDescent="0.25">
      <c r="C1491"/>
      <c r="D1491"/>
    </row>
    <row r="1492" spans="3:4" x14ac:dyDescent="0.25">
      <c r="C1492"/>
      <c r="D1492"/>
    </row>
    <row r="1493" spans="3:4" x14ac:dyDescent="0.25">
      <c r="C1493"/>
      <c r="D1493"/>
    </row>
    <row r="1494" spans="3:4" x14ac:dyDescent="0.25">
      <c r="C1494"/>
      <c r="D1494"/>
    </row>
    <row r="1495" spans="3:4" x14ac:dyDescent="0.25">
      <c r="C1495"/>
      <c r="D1495"/>
    </row>
    <row r="1496" spans="3:4" x14ac:dyDescent="0.25">
      <c r="C1496"/>
      <c r="D1496"/>
    </row>
    <row r="1497" spans="3:4" x14ac:dyDescent="0.25">
      <c r="C1497"/>
      <c r="D1497"/>
    </row>
    <row r="1498" spans="3:4" x14ac:dyDescent="0.25">
      <c r="C1498"/>
      <c r="D1498"/>
    </row>
    <row r="1499" spans="3:4" x14ac:dyDescent="0.25">
      <c r="C1499"/>
      <c r="D1499"/>
    </row>
    <row r="1500" spans="3:4" x14ac:dyDescent="0.25">
      <c r="C1500"/>
      <c r="D1500"/>
    </row>
    <row r="1501" spans="3:4" x14ac:dyDescent="0.25">
      <c r="C1501"/>
      <c r="D1501"/>
    </row>
    <row r="1502" spans="3:4" x14ac:dyDescent="0.25">
      <c r="C1502"/>
      <c r="D1502"/>
    </row>
    <row r="1503" spans="3:4" x14ac:dyDescent="0.25">
      <c r="C1503"/>
      <c r="D1503"/>
    </row>
    <row r="1504" spans="3:4" x14ac:dyDescent="0.25">
      <c r="C1504"/>
      <c r="D1504"/>
    </row>
    <row r="1505" spans="3:4" x14ac:dyDescent="0.25">
      <c r="C1505"/>
      <c r="D1505"/>
    </row>
    <row r="1506" spans="3:4" x14ac:dyDescent="0.25">
      <c r="C1506"/>
      <c r="D1506"/>
    </row>
    <row r="1507" spans="3:4" x14ac:dyDescent="0.25">
      <c r="C1507"/>
      <c r="D1507"/>
    </row>
    <row r="1508" spans="3:4" x14ac:dyDescent="0.25">
      <c r="C1508"/>
      <c r="D1508"/>
    </row>
    <row r="1509" spans="3:4" x14ac:dyDescent="0.25">
      <c r="C1509"/>
      <c r="D1509"/>
    </row>
    <row r="1510" spans="3:4" x14ac:dyDescent="0.25">
      <c r="C1510"/>
      <c r="D1510"/>
    </row>
    <row r="1511" spans="3:4" x14ac:dyDescent="0.25">
      <c r="C1511"/>
      <c r="D1511"/>
    </row>
    <row r="1512" spans="3:4" x14ac:dyDescent="0.25">
      <c r="C1512"/>
      <c r="D1512"/>
    </row>
    <row r="1513" spans="3:4" x14ac:dyDescent="0.25">
      <c r="C1513"/>
      <c r="D1513"/>
    </row>
    <row r="1514" spans="3:4" x14ac:dyDescent="0.25">
      <c r="C1514"/>
      <c r="D1514"/>
    </row>
    <row r="1515" spans="3:4" x14ac:dyDescent="0.25">
      <c r="C1515"/>
      <c r="D1515"/>
    </row>
    <row r="1516" spans="3:4" x14ac:dyDescent="0.25">
      <c r="C1516"/>
      <c r="D1516"/>
    </row>
    <row r="1517" spans="3:4" x14ac:dyDescent="0.25">
      <c r="C1517"/>
      <c r="D1517"/>
    </row>
    <row r="1518" spans="3:4" x14ac:dyDescent="0.25">
      <c r="C1518"/>
      <c r="D1518"/>
    </row>
    <row r="1519" spans="3:4" x14ac:dyDescent="0.25">
      <c r="C1519"/>
      <c r="D1519"/>
    </row>
    <row r="1520" spans="3:4" x14ac:dyDescent="0.25">
      <c r="C1520"/>
      <c r="D1520"/>
    </row>
    <row r="1521" spans="3:4" x14ac:dyDescent="0.25">
      <c r="C1521"/>
      <c r="D1521"/>
    </row>
    <row r="1522" spans="3:4" x14ac:dyDescent="0.25">
      <c r="C1522"/>
      <c r="D1522"/>
    </row>
    <row r="1523" spans="3:4" x14ac:dyDescent="0.25">
      <c r="C1523"/>
      <c r="D1523"/>
    </row>
    <row r="1524" spans="3:4" x14ac:dyDescent="0.25">
      <c r="C1524"/>
      <c r="D1524"/>
    </row>
    <row r="1525" spans="3:4" x14ac:dyDescent="0.25">
      <c r="C1525"/>
      <c r="D1525"/>
    </row>
    <row r="1526" spans="3:4" x14ac:dyDescent="0.25">
      <c r="C1526"/>
      <c r="D1526"/>
    </row>
    <row r="1527" spans="3:4" x14ac:dyDescent="0.25">
      <c r="C1527"/>
      <c r="D1527"/>
    </row>
    <row r="1528" spans="3:4" x14ac:dyDescent="0.25">
      <c r="C1528"/>
      <c r="D1528"/>
    </row>
    <row r="1529" spans="3:4" x14ac:dyDescent="0.25">
      <c r="C1529"/>
      <c r="D1529"/>
    </row>
    <row r="1530" spans="3:4" x14ac:dyDescent="0.25">
      <c r="C1530"/>
      <c r="D1530"/>
    </row>
    <row r="1531" spans="3:4" x14ac:dyDescent="0.25">
      <c r="C1531"/>
      <c r="D1531"/>
    </row>
    <row r="1532" spans="3:4" x14ac:dyDescent="0.25">
      <c r="C1532"/>
      <c r="D1532"/>
    </row>
    <row r="1533" spans="3:4" x14ac:dyDescent="0.25">
      <c r="C1533"/>
      <c r="D1533"/>
    </row>
    <row r="1534" spans="3:4" x14ac:dyDescent="0.25">
      <c r="C1534"/>
      <c r="D1534"/>
    </row>
    <row r="1535" spans="3:4" x14ac:dyDescent="0.25">
      <c r="C1535"/>
      <c r="D1535"/>
    </row>
    <row r="1536" spans="3:4" x14ac:dyDescent="0.25">
      <c r="C1536"/>
      <c r="D1536"/>
    </row>
    <row r="1537" spans="3:4" x14ac:dyDescent="0.25">
      <c r="C1537"/>
      <c r="D1537"/>
    </row>
    <row r="1538" spans="3:4" x14ac:dyDescent="0.25">
      <c r="C1538"/>
      <c r="D1538"/>
    </row>
    <row r="1539" spans="3:4" x14ac:dyDescent="0.25">
      <c r="C1539"/>
      <c r="D1539"/>
    </row>
    <row r="1540" spans="3:4" x14ac:dyDescent="0.25">
      <c r="C1540"/>
      <c r="D1540"/>
    </row>
    <row r="1541" spans="3:4" x14ac:dyDescent="0.25">
      <c r="C1541"/>
      <c r="D1541"/>
    </row>
    <row r="1542" spans="3:4" x14ac:dyDescent="0.25">
      <c r="C1542"/>
      <c r="D1542"/>
    </row>
    <row r="1543" spans="3:4" x14ac:dyDescent="0.25">
      <c r="C1543"/>
      <c r="D1543"/>
    </row>
    <row r="1544" spans="3:4" x14ac:dyDescent="0.25">
      <c r="C1544"/>
      <c r="D1544"/>
    </row>
    <row r="1545" spans="3:4" x14ac:dyDescent="0.25">
      <c r="C1545"/>
      <c r="D1545"/>
    </row>
    <row r="1546" spans="3:4" x14ac:dyDescent="0.25">
      <c r="C1546"/>
      <c r="D1546"/>
    </row>
    <row r="1547" spans="3:4" x14ac:dyDescent="0.25">
      <c r="C1547"/>
      <c r="D1547"/>
    </row>
    <row r="1548" spans="3:4" x14ac:dyDescent="0.25">
      <c r="C1548"/>
      <c r="D1548"/>
    </row>
    <row r="1549" spans="3:4" x14ac:dyDescent="0.25">
      <c r="C1549"/>
      <c r="D1549"/>
    </row>
    <row r="1550" spans="3:4" x14ac:dyDescent="0.25">
      <c r="C1550"/>
      <c r="D1550"/>
    </row>
    <row r="1551" spans="3:4" x14ac:dyDescent="0.25">
      <c r="C1551"/>
      <c r="D1551"/>
    </row>
    <row r="1552" spans="3:4" x14ac:dyDescent="0.25">
      <c r="C1552"/>
      <c r="D1552"/>
    </row>
    <row r="1553" spans="3:4" x14ac:dyDescent="0.25">
      <c r="C1553"/>
      <c r="D1553"/>
    </row>
    <row r="1554" spans="3:4" x14ac:dyDescent="0.25">
      <c r="C1554"/>
      <c r="D1554"/>
    </row>
    <row r="1555" spans="3:4" x14ac:dyDescent="0.25">
      <c r="C1555"/>
      <c r="D1555"/>
    </row>
    <row r="1556" spans="3:4" x14ac:dyDescent="0.25">
      <c r="C1556"/>
      <c r="D1556"/>
    </row>
    <row r="1557" spans="3:4" x14ac:dyDescent="0.25">
      <c r="C1557"/>
      <c r="D1557"/>
    </row>
    <row r="1558" spans="3:4" x14ac:dyDescent="0.25">
      <c r="C1558"/>
      <c r="D1558"/>
    </row>
    <row r="1559" spans="3:4" x14ac:dyDescent="0.25">
      <c r="C1559"/>
      <c r="D1559"/>
    </row>
    <row r="1560" spans="3:4" x14ac:dyDescent="0.25">
      <c r="C1560"/>
      <c r="D1560"/>
    </row>
    <row r="1561" spans="3:4" x14ac:dyDescent="0.25">
      <c r="C1561"/>
      <c r="D1561"/>
    </row>
    <row r="1562" spans="3:4" x14ac:dyDescent="0.25">
      <c r="C1562"/>
      <c r="D1562"/>
    </row>
    <row r="1563" spans="3:4" x14ac:dyDescent="0.25">
      <c r="C1563"/>
      <c r="D1563"/>
    </row>
    <row r="1564" spans="3:4" x14ac:dyDescent="0.25">
      <c r="C1564"/>
      <c r="D1564"/>
    </row>
    <row r="1565" spans="3:4" x14ac:dyDescent="0.25">
      <c r="C1565"/>
      <c r="D1565"/>
    </row>
    <row r="1566" spans="3:4" x14ac:dyDescent="0.25">
      <c r="C1566"/>
      <c r="D1566"/>
    </row>
    <row r="1567" spans="3:4" x14ac:dyDescent="0.25">
      <c r="C1567"/>
      <c r="D1567"/>
    </row>
    <row r="1568" spans="3:4" x14ac:dyDescent="0.25">
      <c r="C1568"/>
      <c r="D1568"/>
    </row>
    <row r="1569" spans="3:4" x14ac:dyDescent="0.25">
      <c r="C1569"/>
      <c r="D1569"/>
    </row>
    <row r="1570" spans="3:4" x14ac:dyDescent="0.25">
      <c r="C1570"/>
      <c r="D1570"/>
    </row>
    <row r="1571" spans="3:4" x14ac:dyDescent="0.25">
      <c r="C1571"/>
      <c r="D1571"/>
    </row>
    <row r="1572" spans="3:4" x14ac:dyDescent="0.25">
      <c r="C1572"/>
      <c r="D1572"/>
    </row>
    <row r="1573" spans="3:4" x14ac:dyDescent="0.25">
      <c r="C1573"/>
      <c r="D1573"/>
    </row>
    <row r="1574" spans="3:4" x14ac:dyDescent="0.25">
      <c r="C1574"/>
      <c r="D1574"/>
    </row>
    <row r="1575" spans="3:4" x14ac:dyDescent="0.25">
      <c r="C1575"/>
      <c r="D1575"/>
    </row>
    <row r="1576" spans="3:4" x14ac:dyDescent="0.25">
      <c r="C1576"/>
      <c r="D1576"/>
    </row>
    <row r="1577" spans="3:4" x14ac:dyDescent="0.25">
      <c r="C1577"/>
      <c r="D1577"/>
    </row>
    <row r="1578" spans="3:4" x14ac:dyDescent="0.25">
      <c r="C1578"/>
      <c r="D1578"/>
    </row>
    <row r="1579" spans="3:4" x14ac:dyDescent="0.25">
      <c r="C1579"/>
      <c r="D1579"/>
    </row>
    <row r="1580" spans="3:4" x14ac:dyDescent="0.25">
      <c r="C1580"/>
      <c r="D1580"/>
    </row>
    <row r="1581" spans="3:4" x14ac:dyDescent="0.25">
      <c r="C1581"/>
      <c r="D1581"/>
    </row>
    <row r="1582" spans="3:4" x14ac:dyDescent="0.25">
      <c r="C1582"/>
      <c r="D1582"/>
    </row>
    <row r="1583" spans="3:4" x14ac:dyDescent="0.25">
      <c r="C1583"/>
      <c r="D1583"/>
    </row>
    <row r="1584" spans="3:4" x14ac:dyDescent="0.25">
      <c r="C1584"/>
      <c r="D1584"/>
    </row>
    <row r="1585" spans="3:4" x14ac:dyDescent="0.25">
      <c r="C1585"/>
      <c r="D1585"/>
    </row>
    <row r="1586" spans="3:4" x14ac:dyDescent="0.25">
      <c r="C1586"/>
      <c r="D1586"/>
    </row>
    <row r="1587" spans="3:4" x14ac:dyDescent="0.25">
      <c r="C1587"/>
      <c r="D1587"/>
    </row>
    <row r="1588" spans="3:4" x14ac:dyDescent="0.25">
      <c r="C1588"/>
      <c r="D1588"/>
    </row>
    <row r="1589" spans="3:4" x14ac:dyDescent="0.25">
      <c r="C1589"/>
      <c r="D1589"/>
    </row>
    <row r="1590" spans="3:4" x14ac:dyDescent="0.25">
      <c r="C1590"/>
      <c r="D1590"/>
    </row>
    <row r="1591" spans="3:4" x14ac:dyDescent="0.25">
      <c r="C1591"/>
      <c r="D1591"/>
    </row>
    <row r="1592" spans="3:4" x14ac:dyDescent="0.25">
      <c r="C1592"/>
      <c r="D1592"/>
    </row>
    <row r="1593" spans="3:4" x14ac:dyDescent="0.25">
      <c r="C1593"/>
      <c r="D1593"/>
    </row>
    <row r="1594" spans="3:4" x14ac:dyDescent="0.25">
      <c r="C1594"/>
      <c r="D1594"/>
    </row>
    <row r="1595" spans="3:4" x14ac:dyDescent="0.25">
      <c r="C1595"/>
      <c r="D1595"/>
    </row>
    <row r="1596" spans="3:4" x14ac:dyDescent="0.25">
      <c r="C1596"/>
      <c r="D1596"/>
    </row>
    <row r="1597" spans="3:4" x14ac:dyDescent="0.25">
      <c r="C1597"/>
      <c r="D1597"/>
    </row>
    <row r="1598" spans="3:4" x14ac:dyDescent="0.25">
      <c r="C1598"/>
      <c r="D1598"/>
    </row>
    <row r="1599" spans="3:4" x14ac:dyDescent="0.25">
      <c r="C1599"/>
      <c r="D1599"/>
    </row>
    <row r="1600" spans="3:4" x14ac:dyDescent="0.25">
      <c r="C1600"/>
      <c r="D1600"/>
    </row>
    <row r="1601" spans="3:4" x14ac:dyDescent="0.25">
      <c r="C1601"/>
      <c r="D1601"/>
    </row>
    <row r="1602" spans="3:4" x14ac:dyDescent="0.25">
      <c r="C1602"/>
      <c r="D1602"/>
    </row>
    <row r="1603" spans="3:4" x14ac:dyDescent="0.25">
      <c r="C1603"/>
      <c r="D1603"/>
    </row>
    <row r="1604" spans="3:4" x14ac:dyDescent="0.25">
      <c r="C1604"/>
      <c r="D1604"/>
    </row>
    <row r="1605" spans="3:4" x14ac:dyDescent="0.25">
      <c r="C1605"/>
      <c r="D1605"/>
    </row>
    <row r="1606" spans="3:4" x14ac:dyDescent="0.25">
      <c r="C1606"/>
      <c r="D1606"/>
    </row>
    <row r="1607" spans="3:4" x14ac:dyDescent="0.25">
      <c r="C1607"/>
      <c r="D1607"/>
    </row>
    <row r="1608" spans="3:4" x14ac:dyDescent="0.25">
      <c r="C1608"/>
      <c r="D1608"/>
    </row>
    <row r="1609" spans="3:4" x14ac:dyDescent="0.25">
      <c r="C1609"/>
      <c r="D1609"/>
    </row>
    <row r="1610" spans="3:4" x14ac:dyDescent="0.25">
      <c r="C1610"/>
      <c r="D1610"/>
    </row>
    <row r="1611" spans="3:4" x14ac:dyDescent="0.25">
      <c r="C1611"/>
      <c r="D1611"/>
    </row>
    <row r="1612" spans="3:4" x14ac:dyDescent="0.25">
      <c r="C1612"/>
      <c r="D1612"/>
    </row>
    <row r="1613" spans="3:4" x14ac:dyDescent="0.25">
      <c r="C1613"/>
      <c r="D1613"/>
    </row>
    <row r="1614" spans="3:4" x14ac:dyDescent="0.25">
      <c r="C1614"/>
      <c r="D1614"/>
    </row>
    <row r="1615" spans="3:4" x14ac:dyDescent="0.25">
      <c r="C1615"/>
      <c r="D1615"/>
    </row>
    <row r="1616" spans="3:4" x14ac:dyDescent="0.25">
      <c r="C1616"/>
      <c r="D1616"/>
    </row>
    <row r="1617" spans="3:4" x14ac:dyDescent="0.25">
      <c r="C1617"/>
      <c r="D1617"/>
    </row>
    <row r="1618" spans="3:4" x14ac:dyDescent="0.25">
      <c r="C1618"/>
      <c r="D1618"/>
    </row>
    <row r="1619" spans="3:4" x14ac:dyDescent="0.25">
      <c r="C1619"/>
      <c r="D1619"/>
    </row>
    <row r="1620" spans="3:4" x14ac:dyDescent="0.25">
      <c r="C1620"/>
      <c r="D1620"/>
    </row>
    <row r="1621" spans="3:4" x14ac:dyDescent="0.25">
      <c r="C1621"/>
      <c r="D1621"/>
    </row>
    <row r="1622" spans="3:4" x14ac:dyDescent="0.25">
      <c r="C1622"/>
      <c r="D1622"/>
    </row>
    <row r="1623" spans="3:4" x14ac:dyDescent="0.25">
      <c r="C1623"/>
      <c r="D1623"/>
    </row>
    <row r="1624" spans="3:4" x14ac:dyDescent="0.25">
      <c r="C1624"/>
      <c r="D1624"/>
    </row>
    <row r="1625" spans="3:4" x14ac:dyDescent="0.25">
      <c r="C1625"/>
      <c r="D1625"/>
    </row>
    <row r="1626" spans="3:4" x14ac:dyDescent="0.25">
      <c r="C1626"/>
      <c r="D1626"/>
    </row>
    <row r="1627" spans="3:4" x14ac:dyDescent="0.25">
      <c r="C1627"/>
      <c r="D1627"/>
    </row>
    <row r="1628" spans="3:4" x14ac:dyDescent="0.25">
      <c r="C1628"/>
      <c r="D1628"/>
    </row>
    <row r="1629" spans="3:4" x14ac:dyDescent="0.25">
      <c r="C1629"/>
      <c r="D1629"/>
    </row>
    <row r="1630" spans="3:4" x14ac:dyDescent="0.25">
      <c r="C1630"/>
      <c r="D1630"/>
    </row>
    <row r="1631" spans="3:4" x14ac:dyDescent="0.25">
      <c r="C1631"/>
      <c r="D1631"/>
    </row>
    <row r="1632" spans="3:4" x14ac:dyDescent="0.25">
      <c r="C1632"/>
      <c r="D1632"/>
    </row>
    <row r="1633" spans="3:4" x14ac:dyDescent="0.25">
      <c r="C1633"/>
      <c r="D1633"/>
    </row>
    <row r="1634" spans="3:4" x14ac:dyDescent="0.25">
      <c r="C1634"/>
      <c r="D1634"/>
    </row>
    <row r="1635" spans="3:4" x14ac:dyDescent="0.25">
      <c r="C1635"/>
      <c r="D1635"/>
    </row>
    <row r="1636" spans="3:4" x14ac:dyDescent="0.25">
      <c r="C1636"/>
      <c r="D1636"/>
    </row>
    <row r="1637" spans="3:4" x14ac:dyDescent="0.25">
      <c r="C1637"/>
      <c r="D1637"/>
    </row>
    <row r="1638" spans="3:4" x14ac:dyDescent="0.25">
      <c r="C1638"/>
      <c r="D1638"/>
    </row>
    <row r="1639" spans="3:4" x14ac:dyDescent="0.25">
      <c r="C1639"/>
      <c r="D1639"/>
    </row>
    <row r="1640" spans="3:4" x14ac:dyDescent="0.25">
      <c r="C1640"/>
      <c r="D1640"/>
    </row>
    <row r="1641" spans="3:4" x14ac:dyDescent="0.25">
      <c r="C1641"/>
      <c r="D1641"/>
    </row>
    <row r="1642" spans="3:4" x14ac:dyDescent="0.25">
      <c r="C1642"/>
      <c r="D1642"/>
    </row>
    <row r="1643" spans="3:4" x14ac:dyDescent="0.25">
      <c r="C1643"/>
      <c r="D1643"/>
    </row>
    <row r="1644" spans="3:4" x14ac:dyDescent="0.25">
      <c r="C1644"/>
      <c r="D1644"/>
    </row>
    <row r="1645" spans="3:4" x14ac:dyDescent="0.25">
      <c r="C1645"/>
      <c r="D1645"/>
    </row>
    <row r="1646" spans="3:4" x14ac:dyDescent="0.25">
      <c r="C1646"/>
      <c r="D1646"/>
    </row>
    <row r="1647" spans="3:4" x14ac:dyDescent="0.25">
      <c r="C1647"/>
      <c r="D1647"/>
    </row>
    <row r="1648" spans="3:4" x14ac:dyDescent="0.25">
      <c r="C1648"/>
      <c r="D1648"/>
    </row>
    <row r="1649" spans="3:4" x14ac:dyDescent="0.25">
      <c r="C1649"/>
      <c r="D1649"/>
    </row>
    <row r="1650" spans="3:4" x14ac:dyDescent="0.25">
      <c r="C1650"/>
      <c r="D1650"/>
    </row>
    <row r="1651" spans="3:4" x14ac:dyDescent="0.25">
      <c r="C1651"/>
      <c r="D1651"/>
    </row>
    <row r="1652" spans="3:4" x14ac:dyDescent="0.25">
      <c r="C1652"/>
      <c r="D1652"/>
    </row>
    <row r="1653" spans="3:4" x14ac:dyDescent="0.25">
      <c r="C1653"/>
      <c r="D1653"/>
    </row>
    <row r="1654" spans="3:4" x14ac:dyDescent="0.25">
      <c r="C1654"/>
      <c r="D1654"/>
    </row>
    <row r="1655" spans="3:4" x14ac:dyDescent="0.25">
      <c r="C1655"/>
      <c r="D1655"/>
    </row>
    <row r="1656" spans="3:4" x14ac:dyDescent="0.25">
      <c r="C1656"/>
      <c r="D1656"/>
    </row>
    <row r="1657" spans="3:4" x14ac:dyDescent="0.25">
      <c r="C1657"/>
      <c r="D1657"/>
    </row>
    <row r="1658" spans="3:4" x14ac:dyDescent="0.25">
      <c r="C1658"/>
      <c r="D1658"/>
    </row>
    <row r="1659" spans="3:4" x14ac:dyDescent="0.25">
      <c r="C1659"/>
      <c r="D1659"/>
    </row>
    <row r="1660" spans="3:4" x14ac:dyDescent="0.25">
      <c r="C1660"/>
      <c r="D1660"/>
    </row>
    <row r="1661" spans="3:4" x14ac:dyDescent="0.25">
      <c r="C1661"/>
      <c r="D1661"/>
    </row>
    <row r="1662" spans="3:4" x14ac:dyDescent="0.25">
      <c r="C1662"/>
      <c r="D1662"/>
    </row>
    <row r="1663" spans="3:4" x14ac:dyDescent="0.25">
      <c r="C1663"/>
      <c r="D1663"/>
    </row>
    <row r="1664" spans="3:4" x14ac:dyDescent="0.25">
      <c r="C1664"/>
      <c r="D1664"/>
    </row>
    <row r="1665" spans="3:4" x14ac:dyDescent="0.25">
      <c r="C1665"/>
      <c r="D1665"/>
    </row>
    <row r="1666" spans="3:4" x14ac:dyDescent="0.25">
      <c r="C1666"/>
      <c r="D1666"/>
    </row>
    <row r="1667" spans="3:4" x14ac:dyDescent="0.25">
      <c r="C1667"/>
      <c r="D1667"/>
    </row>
    <row r="1668" spans="3:4" x14ac:dyDescent="0.25">
      <c r="C1668"/>
      <c r="D1668"/>
    </row>
    <row r="1669" spans="3:4" x14ac:dyDescent="0.25">
      <c r="C1669"/>
      <c r="D1669"/>
    </row>
    <row r="1670" spans="3:4" x14ac:dyDescent="0.25">
      <c r="C1670"/>
      <c r="D1670"/>
    </row>
    <row r="1671" spans="3:4" x14ac:dyDescent="0.25">
      <c r="C1671"/>
      <c r="D1671"/>
    </row>
    <row r="1672" spans="3:4" x14ac:dyDescent="0.25">
      <c r="C1672"/>
      <c r="D1672"/>
    </row>
    <row r="1673" spans="3:4" x14ac:dyDescent="0.25">
      <c r="C1673"/>
      <c r="D1673"/>
    </row>
    <row r="1674" spans="3:4" x14ac:dyDescent="0.25">
      <c r="C1674"/>
      <c r="D1674"/>
    </row>
    <row r="1675" spans="3:4" x14ac:dyDescent="0.25">
      <c r="C1675"/>
      <c r="D1675"/>
    </row>
    <row r="1676" spans="3:4" x14ac:dyDescent="0.25">
      <c r="C1676"/>
      <c r="D1676"/>
    </row>
    <row r="1677" spans="3:4" x14ac:dyDescent="0.25">
      <c r="C1677"/>
      <c r="D1677"/>
    </row>
    <row r="1678" spans="3:4" x14ac:dyDescent="0.25">
      <c r="C1678"/>
      <c r="D1678"/>
    </row>
    <row r="1679" spans="3:4" x14ac:dyDescent="0.25">
      <c r="C1679"/>
      <c r="D1679"/>
    </row>
    <row r="1680" spans="3:4" x14ac:dyDescent="0.25">
      <c r="C1680"/>
      <c r="D1680"/>
    </row>
    <row r="1681" spans="3:4" x14ac:dyDescent="0.25">
      <c r="C1681"/>
      <c r="D1681"/>
    </row>
    <row r="1682" spans="3:4" x14ac:dyDescent="0.25">
      <c r="C1682"/>
      <c r="D1682"/>
    </row>
    <row r="1683" spans="3:4" x14ac:dyDescent="0.25">
      <c r="C1683"/>
      <c r="D1683"/>
    </row>
    <row r="1684" spans="3:4" x14ac:dyDescent="0.25">
      <c r="C1684"/>
      <c r="D1684"/>
    </row>
    <row r="1685" spans="3:4" x14ac:dyDescent="0.25">
      <c r="C1685"/>
      <c r="D1685"/>
    </row>
    <row r="1686" spans="3:4" x14ac:dyDescent="0.25">
      <c r="C1686"/>
      <c r="D1686"/>
    </row>
    <row r="1687" spans="3:4" x14ac:dyDescent="0.25">
      <c r="C1687"/>
      <c r="D1687"/>
    </row>
    <row r="1688" spans="3:4" x14ac:dyDescent="0.25">
      <c r="C1688"/>
      <c r="D1688"/>
    </row>
    <row r="1689" spans="3:4" x14ac:dyDescent="0.25">
      <c r="C1689"/>
      <c r="D1689"/>
    </row>
    <row r="1690" spans="3:4" x14ac:dyDescent="0.25">
      <c r="C1690"/>
      <c r="D1690"/>
    </row>
    <row r="1691" spans="3:4" x14ac:dyDescent="0.25">
      <c r="C1691"/>
      <c r="D1691"/>
    </row>
    <row r="1692" spans="3:4" x14ac:dyDescent="0.25">
      <c r="C1692"/>
      <c r="D1692"/>
    </row>
    <row r="1693" spans="3:4" x14ac:dyDescent="0.25">
      <c r="C1693"/>
      <c r="D1693"/>
    </row>
    <row r="1694" spans="3:4" x14ac:dyDescent="0.25">
      <c r="C1694"/>
      <c r="D1694"/>
    </row>
    <row r="1695" spans="3:4" x14ac:dyDescent="0.25">
      <c r="C1695"/>
      <c r="D1695"/>
    </row>
    <row r="1696" spans="3:4" x14ac:dyDescent="0.25">
      <c r="C1696"/>
      <c r="D1696"/>
    </row>
    <row r="1697" spans="3:4" x14ac:dyDescent="0.25">
      <c r="C1697"/>
      <c r="D1697"/>
    </row>
    <row r="1698" spans="3:4" x14ac:dyDescent="0.25">
      <c r="C1698"/>
      <c r="D1698"/>
    </row>
    <row r="1699" spans="3:4" x14ac:dyDescent="0.25">
      <c r="C1699"/>
      <c r="D1699"/>
    </row>
    <row r="1700" spans="3:4" x14ac:dyDescent="0.25">
      <c r="C1700"/>
      <c r="D1700"/>
    </row>
    <row r="1701" spans="3:4" x14ac:dyDescent="0.25">
      <c r="C1701"/>
      <c r="D1701"/>
    </row>
    <row r="1702" spans="3:4" x14ac:dyDescent="0.25">
      <c r="C1702"/>
      <c r="D1702"/>
    </row>
    <row r="1703" spans="3:4" x14ac:dyDescent="0.25">
      <c r="C1703"/>
      <c r="D1703"/>
    </row>
    <row r="1704" spans="3:4" x14ac:dyDescent="0.25">
      <c r="C1704"/>
      <c r="D1704"/>
    </row>
    <row r="1705" spans="3:4" x14ac:dyDescent="0.25">
      <c r="C1705"/>
      <c r="D1705"/>
    </row>
    <row r="1706" spans="3:4" x14ac:dyDescent="0.25">
      <c r="C1706"/>
      <c r="D1706"/>
    </row>
    <row r="1707" spans="3:4" x14ac:dyDescent="0.25">
      <c r="C1707"/>
      <c r="D1707"/>
    </row>
    <row r="1708" spans="3:4" x14ac:dyDescent="0.25">
      <c r="C1708"/>
      <c r="D1708"/>
    </row>
    <row r="1709" spans="3:4" x14ac:dyDescent="0.25">
      <c r="C1709"/>
      <c r="D1709"/>
    </row>
    <row r="1710" spans="3:4" x14ac:dyDescent="0.25">
      <c r="C1710"/>
      <c r="D1710"/>
    </row>
    <row r="1711" spans="3:4" x14ac:dyDescent="0.25">
      <c r="C1711"/>
      <c r="D1711"/>
    </row>
    <row r="1712" spans="3:4" x14ac:dyDescent="0.25">
      <c r="C1712"/>
      <c r="D1712"/>
    </row>
    <row r="1713" spans="3:4" x14ac:dyDescent="0.25">
      <c r="C1713"/>
      <c r="D1713"/>
    </row>
    <row r="1714" spans="3:4" x14ac:dyDescent="0.25">
      <c r="C1714"/>
      <c r="D1714"/>
    </row>
    <row r="1715" spans="3:4" x14ac:dyDescent="0.25">
      <c r="C1715"/>
      <c r="D1715"/>
    </row>
    <row r="1716" spans="3:4" x14ac:dyDescent="0.25">
      <c r="C1716"/>
      <c r="D1716"/>
    </row>
    <row r="1717" spans="3:4" x14ac:dyDescent="0.25">
      <c r="C1717"/>
      <c r="D1717"/>
    </row>
    <row r="1718" spans="3:4" x14ac:dyDescent="0.25">
      <c r="C1718"/>
      <c r="D1718"/>
    </row>
    <row r="1719" spans="3:4" x14ac:dyDescent="0.25">
      <c r="C1719"/>
      <c r="D1719"/>
    </row>
    <row r="1720" spans="3:4" x14ac:dyDescent="0.25">
      <c r="C1720"/>
      <c r="D1720"/>
    </row>
    <row r="1721" spans="3:4" x14ac:dyDescent="0.25">
      <c r="C1721"/>
      <c r="D1721"/>
    </row>
    <row r="1722" spans="3:4" x14ac:dyDescent="0.25">
      <c r="C1722"/>
      <c r="D1722"/>
    </row>
    <row r="1723" spans="3:4" x14ac:dyDescent="0.25">
      <c r="C1723"/>
      <c r="D1723"/>
    </row>
    <row r="1724" spans="3:4" x14ac:dyDescent="0.25">
      <c r="C1724"/>
      <c r="D1724"/>
    </row>
    <row r="1725" spans="3:4" x14ac:dyDescent="0.25">
      <c r="C1725"/>
      <c r="D1725"/>
    </row>
    <row r="1726" spans="3:4" x14ac:dyDescent="0.25">
      <c r="C1726"/>
      <c r="D1726"/>
    </row>
    <row r="1727" spans="3:4" x14ac:dyDescent="0.25">
      <c r="C1727"/>
      <c r="D1727"/>
    </row>
    <row r="1728" spans="3:4" x14ac:dyDescent="0.25">
      <c r="C1728"/>
      <c r="D1728"/>
    </row>
    <row r="1729" spans="3:4" x14ac:dyDescent="0.25">
      <c r="C1729"/>
      <c r="D1729"/>
    </row>
    <row r="1730" spans="3:4" x14ac:dyDescent="0.25">
      <c r="C1730"/>
      <c r="D1730"/>
    </row>
    <row r="1731" spans="3:4" x14ac:dyDescent="0.25">
      <c r="C1731"/>
      <c r="D1731"/>
    </row>
    <row r="1732" spans="3:4" x14ac:dyDescent="0.25">
      <c r="C1732"/>
      <c r="D1732"/>
    </row>
    <row r="1733" spans="3:4" x14ac:dyDescent="0.25">
      <c r="C1733"/>
      <c r="D1733"/>
    </row>
    <row r="1734" spans="3:4" x14ac:dyDescent="0.25">
      <c r="C1734"/>
      <c r="D1734"/>
    </row>
    <row r="1735" spans="3:4" x14ac:dyDescent="0.25">
      <c r="C1735"/>
      <c r="D1735"/>
    </row>
    <row r="1736" spans="3:4" x14ac:dyDescent="0.25">
      <c r="C1736"/>
      <c r="D1736"/>
    </row>
    <row r="1737" spans="3:4" x14ac:dyDescent="0.25">
      <c r="C1737"/>
      <c r="D1737"/>
    </row>
    <row r="1738" spans="3:4" x14ac:dyDescent="0.25">
      <c r="C1738"/>
      <c r="D1738"/>
    </row>
    <row r="1739" spans="3:4" x14ac:dyDescent="0.25">
      <c r="C1739"/>
      <c r="D1739"/>
    </row>
    <row r="1740" spans="3:4" x14ac:dyDescent="0.25">
      <c r="C1740"/>
      <c r="D1740"/>
    </row>
    <row r="1741" spans="3:4" x14ac:dyDescent="0.25">
      <c r="C1741"/>
      <c r="D1741"/>
    </row>
    <row r="1742" spans="3:4" x14ac:dyDescent="0.25">
      <c r="C1742"/>
      <c r="D1742"/>
    </row>
    <row r="1743" spans="3:4" x14ac:dyDescent="0.25">
      <c r="C1743"/>
      <c r="D1743"/>
    </row>
    <row r="1744" spans="3:4" x14ac:dyDescent="0.25">
      <c r="C1744"/>
      <c r="D1744"/>
    </row>
    <row r="1745" spans="3:4" x14ac:dyDescent="0.25">
      <c r="C1745"/>
      <c r="D1745"/>
    </row>
    <row r="1746" spans="3:4" x14ac:dyDescent="0.25">
      <c r="C1746"/>
      <c r="D1746"/>
    </row>
    <row r="1747" spans="3:4" x14ac:dyDescent="0.25">
      <c r="C1747"/>
      <c r="D1747"/>
    </row>
    <row r="1748" spans="3:4" x14ac:dyDescent="0.25">
      <c r="C1748"/>
      <c r="D1748"/>
    </row>
    <row r="1749" spans="3:4" x14ac:dyDescent="0.25">
      <c r="C1749"/>
      <c r="D1749"/>
    </row>
    <row r="1750" spans="3:4" x14ac:dyDescent="0.25">
      <c r="C1750"/>
      <c r="D1750"/>
    </row>
    <row r="1751" spans="3:4" x14ac:dyDescent="0.25">
      <c r="C1751"/>
      <c r="D1751"/>
    </row>
    <row r="1752" spans="3:4" x14ac:dyDescent="0.25">
      <c r="C1752"/>
      <c r="D1752"/>
    </row>
    <row r="1753" spans="3:4" x14ac:dyDescent="0.25">
      <c r="C1753"/>
      <c r="D1753"/>
    </row>
    <row r="1754" spans="3:4" x14ac:dyDescent="0.25">
      <c r="C1754"/>
      <c r="D1754"/>
    </row>
    <row r="1755" spans="3:4" x14ac:dyDescent="0.25">
      <c r="C1755"/>
      <c r="D1755"/>
    </row>
    <row r="1756" spans="3:4" x14ac:dyDescent="0.25">
      <c r="C1756"/>
      <c r="D1756"/>
    </row>
    <row r="1757" spans="3:4" x14ac:dyDescent="0.25">
      <c r="C1757"/>
      <c r="D1757"/>
    </row>
    <row r="1758" spans="3:4" x14ac:dyDescent="0.25">
      <c r="C1758"/>
      <c r="D1758"/>
    </row>
    <row r="1759" spans="3:4" x14ac:dyDescent="0.25">
      <c r="C1759"/>
      <c r="D1759"/>
    </row>
    <row r="1760" spans="3:4" x14ac:dyDescent="0.25">
      <c r="C1760"/>
      <c r="D1760"/>
    </row>
    <row r="1761" spans="3:4" x14ac:dyDescent="0.25">
      <c r="C1761"/>
      <c r="D1761"/>
    </row>
    <row r="1762" spans="3:4" x14ac:dyDescent="0.25">
      <c r="C1762"/>
      <c r="D1762"/>
    </row>
    <row r="1763" spans="3:4" x14ac:dyDescent="0.25">
      <c r="C1763"/>
      <c r="D1763"/>
    </row>
    <row r="1764" spans="3:4" x14ac:dyDescent="0.25">
      <c r="C1764"/>
      <c r="D1764"/>
    </row>
    <row r="1765" spans="3:4" x14ac:dyDescent="0.25">
      <c r="C1765"/>
      <c r="D1765"/>
    </row>
    <row r="1766" spans="3:4" x14ac:dyDescent="0.25">
      <c r="C1766"/>
      <c r="D1766"/>
    </row>
    <row r="1767" spans="3:4" x14ac:dyDescent="0.25">
      <c r="C1767"/>
      <c r="D1767"/>
    </row>
    <row r="1768" spans="3:4" x14ac:dyDescent="0.25">
      <c r="C1768"/>
      <c r="D1768"/>
    </row>
    <row r="1769" spans="3:4" x14ac:dyDescent="0.25">
      <c r="C1769"/>
      <c r="D1769"/>
    </row>
    <row r="1770" spans="3:4" x14ac:dyDescent="0.25">
      <c r="C1770"/>
      <c r="D1770"/>
    </row>
    <row r="1771" spans="3:4" x14ac:dyDescent="0.25">
      <c r="C1771"/>
      <c r="D1771"/>
    </row>
    <row r="1772" spans="3:4" x14ac:dyDescent="0.25">
      <c r="C1772"/>
      <c r="D1772"/>
    </row>
    <row r="1773" spans="3:4" x14ac:dyDescent="0.25">
      <c r="C1773"/>
      <c r="D1773"/>
    </row>
    <row r="1774" spans="3:4" x14ac:dyDescent="0.25">
      <c r="C1774"/>
      <c r="D1774"/>
    </row>
    <row r="1775" spans="3:4" x14ac:dyDescent="0.25">
      <c r="C1775"/>
      <c r="D1775"/>
    </row>
    <row r="1776" spans="3:4" x14ac:dyDescent="0.25">
      <c r="C1776"/>
      <c r="D1776"/>
    </row>
    <row r="1777" spans="3:4" x14ac:dyDescent="0.25">
      <c r="C1777"/>
      <c r="D1777"/>
    </row>
    <row r="1778" spans="3:4" x14ac:dyDescent="0.25">
      <c r="C1778"/>
      <c r="D1778"/>
    </row>
    <row r="1779" spans="3:4" x14ac:dyDescent="0.25">
      <c r="C1779"/>
      <c r="D1779"/>
    </row>
    <row r="1780" spans="3:4" x14ac:dyDescent="0.25">
      <c r="C1780"/>
      <c r="D1780"/>
    </row>
    <row r="1781" spans="3:4" x14ac:dyDescent="0.25">
      <c r="C1781"/>
      <c r="D1781"/>
    </row>
    <row r="1782" spans="3:4" x14ac:dyDescent="0.25">
      <c r="C1782"/>
      <c r="D1782"/>
    </row>
    <row r="1783" spans="3:4" x14ac:dyDescent="0.25">
      <c r="C1783"/>
      <c r="D1783"/>
    </row>
    <row r="1784" spans="3:4" x14ac:dyDescent="0.25">
      <c r="C1784"/>
      <c r="D1784"/>
    </row>
    <row r="1785" spans="3:4" x14ac:dyDescent="0.25">
      <c r="C1785"/>
      <c r="D1785"/>
    </row>
    <row r="1786" spans="3:4" x14ac:dyDescent="0.25">
      <c r="C1786"/>
      <c r="D1786"/>
    </row>
    <row r="1787" spans="3:4" x14ac:dyDescent="0.25">
      <c r="C1787"/>
      <c r="D1787"/>
    </row>
    <row r="1788" spans="3:4" x14ac:dyDescent="0.25">
      <c r="C1788"/>
      <c r="D1788"/>
    </row>
    <row r="1789" spans="3:4" x14ac:dyDescent="0.25">
      <c r="C1789"/>
      <c r="D1789"/>
    </row>
    <row r="1790" spans="3:4" x14ac:dyDescent="0.25">
      <c r="C1790"/>
      <c r="D1790"/>
    </row>
    <row r="1791" spans="3:4" x14ac:dyDescent="0.25">
      <c r="C1791"/>
      <c r="D1791"/>
    </row>
    <row r="1792" spans="3:4" x14ac:dyDescent="0.25">
      <c r="C1792"/>
      <c r="D1792"/>
    </row>
    <row r="1793" spans="3:4" x14ac:dyDescent="0.25">
      <c r="C1793"/>
      <c r="D1793"/>
    </row>
    <row r="1794" spans="3:4" x14ac:dyDescent="0.25">
      <c r="C1794"/>
      <c r="D1794"/>
    </row>
    <row r="1795" spans="3:4" x14ac:dyDescent="0.25">
      <c r="C1795"/>
      <c r="D1795"/>
    </row>
    <row r="1796" spans="3:4" x14ac:dyDescent="0.25">
      <c r="C1796"/>
      <c r="D1796"/>
    </row>
    <row r="1797" spans="3:4" x14ac:dyDescent="0.25">
      <c r="C1797"/>
      <c r="D1797"/>
    </row>
    <row r="1798" spans="3:4" x14ac:dyDescent="0.25">
      <c r="C1798"/>
      <c r="D1798"/>
    </row>
    <row r="1799" spans="3:4" x14ac:dyDescent="0.25">
      <c r="C1799"/>
      <c r="D1799"/>
    </row>
    <row r="1800" spans="3:4" x14ac:dyDescent="0.25">
      <c r="C1800"/>
      <c r="D1800"/>
    </row>
    <row r="1801" spans="3:4" x14ac:dyDescent="0.25">
      <c r="C1801"/>
      <c r="D1801"/>
    </row>
    <row r="1802" spans="3:4" x14ac:dyDescent="0.25">
      <c r="C1802"/>
      <c r="D1802"/>
    </row>
    <row r="1803" spans="3:4" x14ac:dyDescent="0.25">
      <c r="C1803"/>
      <c r="D1803"/>
    </row>
    <row r="1804" spans="3:4" x14ac:dyDescent="0.25">
      <c r="C1804"/>
      <c r="D1804"/>
    </row>
    <row r="1805" spans="3:4" x14ac:dyDescent="0.25">
      <c r="C1805"/>
      <c r="D1805"/>
    </row>
    <row r="1806" spans="3:4" x14ac:dyDescent="0.25">
      <c r="C1806"/>
      <c r="D1806"/>
    </row>
    <row r="1807" spans="3:4" x14ac:dyDescent="0.25">
      <c r="C1807"/>
      <c r="D1807"/>
    </row>
    <row r="1808" spans="3:4" x14ac:dyDescent="0.25">
      <c r="C1808"/>
      <c r="D1808"/>
    </row>
    <row r="1809" spans="3:4" x14ac:dyDescent="0.25">
      <c r="C1809"/>
      <c r="D1809"/>
    </row>
    <row r="1810" spans="3:4" x14ac:dyDescent="0.25">
      <c r="C1810"/>
      <c r="D1810"/>
    </row>
    <row r="1811" spans="3:4" x14ac:dyDescent="0.25">
      <c r="C1811"/>
      <c r="D1811"/>
    </row>
    <row r="1812" spans="3:4" x14ac:dyDescent="0.25">
      <c r="C1812"/>
      <c r="D1812"/>
    </row>
    <row r="1813" spans="3:4" x14ac:dyDescent="0.25">
      <c r="C1813"/>
      <c r="D1813"/>
    </row>
    <row r="1814" spans="3:4" x14ac:dyDescent="0.25">
      <c r="C1814"/>
      <c r="D1814"/>
    </row>
    <row r="1815" spans="3:4" x14ac:dyDescent="0.25">
      <c r="C1815"/>
      <c r="D1815"/>
    </row>
    <row r="1816" spans="3:4" x14ac:dyDescent="0.25">
      <c r="C1816"/>
      <c r="D1816"/>
    </row>
    <row r="1817" spans="3:4" x14ac:dyDescent="0.25">
      <c r="C1817"/>
      <c r="D1817"/>
    </row>
    <row r="1818" spans="3:4" x14ac:dyDescent="0.25">
      <c r="C1818"/>
      <c r="D1818"/>
    </row>
    <row r="1819" spans="3:4" x14ac:dyDescent="0.25">
      <c r="C1819"/>
      <c r="D1819"/>
    </row>
    <row r="1820" spans="3:4" x14ac:dyDescent="0.25">
      <c r="C1820"/>
      <c r="D1820"/>
    </row>
    <row r="1821" spans="3:4" x14ac:dyDescent="0.25">
      <c r="C1821"/>
      <c r="D1821"/>
    </row>
    <row r="1822" spans="3:4" x14ac:dyDescent="0.25">
      <c r="C1822"/>
      <c r="D1822"/>
    </row>
    <row r="1823" spans="3:4" x14ac:dyDescent="0.25">
      <c r="C1823"/>
      <c r="D1823"/>
    </row>
    <row r="1824" spans="3:4" x14ac:dyDescent="0.25">
      <c r="C1824"/>
      <c r="D1824"/>
    </row>
    <row r="1825" spans="3:4" x14ac:dyDescent="0.25">
      <c r="C1825"/>
      <c r="D1825"/>
    </row>
    <row r="1826" spans="3:4" x14ac:dyDescent="0.25">
      <c r="C1826"/>
      <c r="D1826"/>
    </row>
    <row r="1827" spans="3:4" x14ac:dyDescent="0.25">
      <c r="C1827"/>
      <c r="D1827"/>
    </row>
    <row r="1828" spans="3:4" x14ac:dyDescent="0.25">
      <c r="C1828"/>
      <c r="D1828"/>
    </row>
    <row r="1829" spans="3:4" x14ac:dyDescent="0.25">
      <c r="C1829"/>
      <c r="D1829"/>
    </row>
    <row r="1830" spans="3:4" x14ac:dyDescent="0.25">
      <c r="C1830"/>
      <c r="D1830"/>
    </row>
    <row r="1831" spans="3:4" x14ac:dyDescent="0.25">
      <c r="C1831"/>
      <c r="D1831"/>
    </row>
    <row r="1832" spans="3:4" x14ac:dyDescent="0.25">
      <c r="C1832"/>
      <c r="D1832"/>
    </row>
    <row r="1833" spans="3:4" x14ac:dyDescent="0.25">
      <c r="C1833"/>
      <c r="D1833"/>
    </row>
    <row r="1834" spans="3:4" x14ac:dyDescent="0.25">
      <c r="C1834"/>
      <c r="D1834"/>
    </row>
    <row r="1835" spans="3:4" x14ac:dyDescent="0.25">
      <c r="C1835"/>
      <c r="D1835"/>
    </row>
    <row r="1836" spans="3:4" x14ac:dyDescent="0.25">
      <c r="C1836"/>
      <c r="D1836"/>
    </row>
    <row r="1837" spans="3:4" x14ac:dyDescent="0.25">
      <c r="C1837"/>
      <c r="D1837"/>
    </row>
    <row r="1838" spans="3:4" x14ac:dyDescent="0.25">
      <c r="C1838"/>
      <c r="D1838"/>
    </row>
    <row r="1839" spans="3:4" x14ac:dyDescent="0.25">
      <c r="C1839"/>
      <c r="D1839"/>
    </row>
    <row r="1840" spans="3:4" x14ac:dyDescent="0.25">
      <c r="C1840"/>
      <c r="D1840"/>
    </row>
    <row r="1841" spans="3:4" x14ac:dyDescent="0.25">
      <c r="C1841"/>
      <c r="D1841"/>
    </row>
    <row r="1842" spans="3:4" x14ac:dyDescent="0.25">
      <c r="C1842"/>
      <c r="D1842"/>
    </row>
    <row r="1843" spans="3:4" x14ac:dyDescent="0.25">
      <c r="C1843"/>
      <c r="D1843"/>
    </row>
    <row r="1844" spans="3:4" x14ac:dyDescent="0.25">
      <c r="C1844"/>
      <c r="D1844"/>
    </row>
    <row r="1845" spans="3:4" x14ac:dyDescent="0.25">
      <c r="C1845"/>
      <c r="D1845"/>
    </row>
    <row r="1846" spans="3:4" x14ac:dyDescent="0.25">
      <c r="C1846"/>
      <c r="D1846"/>
    </row>
    <row r="1847" spans="3:4" x14ac:dyDescent="0.25">
      <c r="C1847"/>
      <c r="D1847"/>
    </row>
    <row r="1848" spans="3:4" x14ac:dyDescent="0.25">
      <c r="C1848"/>
      <c r="D1848"/>
    </row>
    <row r="1849" spans="3:4" x14ac:dyDescent="0.25">
      <c r="C1849"/>
      <c r="D1849"/>
    </row>
    <row r="1850" spans="3:4" x14ac:dyDescent="0.25">
      <c r="C1850"/>
      <c r="D1850"/>
    </row>
    <row r="1851" spans="3:4" x14ac:dyDescent="0.25">
      <c r="C1851"/>
      <c r="D1851"/>
    </row>
    <row r="1852" spans="3:4" x14ac:dyDescent="0.25">
      <c r="C1852"/>
      <c r="D1852"/>
    </row>
    <row r="1853" spans="3:4" x14ac:dyDescent="0.25">
      <c r="C1853"/>
      <c r="D1853"/>
    </row>
    <row r="1854" spans="3:4" x14ac:dyDescent="0.25">
      <c r="C1854"/>
      <c r="D1854"/>
    </row>
    <row r="1855" spans="3:4" x14ac:dyDescent="0.25">
      <c r="C1855"/>
      <c r="D1855"/>
    </row>
    <row r="1856" spans="3:4" x14ac:dyDescent="0.25">
      <c r="C1856"/>
      <c r="D1856"/>
    </row>
    <row r="1857" spans="3:4" x14ac:dyDescent="0.25">
      <c r="C1857"/>
      <c r="D1857"/>
    </row>
    <row r="1858" spans="3:4" x14ac:dyDescent="0.25">
      <c r="C1858"/>
      <c r="D1858"/>
    </row>
    <row r="1859" spans="3:4" x14ac:dyDescent="0.25">
      <c r="C1859"/>
      <c r="D1859"/>
    </row>
    <row r="1860" spans="3:4" x14ac:dyDescent="0.25">
      <c r="C1860"/>
      <c r="D1860"/>
    </row>
    <row r="1861" spans="3:4" x14ac:dyDescent="0.25">
      <c r="C1861"/>
      <c r="D1861"/>
    </row>
    <row r="1862" spans="3:4" x14ac:dyDescent="0.25">
      <c r="C1862"/>
      <c r="D1862"/>
    </row>
    <row r="1863" spans="3:4" x14ac:dyDescent="0.25">
      <c r="C1863"/>
      <c r="D1863"/>
    </row>
    <row r="1864" spans="3:4" x14ac:dyDescent="0.25">
      <c r="C1864"/>
      <c r="D1864"/>
    </row>
    <row r="1865" spans="3:4" x14ac:dyDescent="0.25">
      <c r="C1865"/>
      <c r="D1865"/>
    </row>
    <row r="1866" spans="3:4" x14ac:dyDescent="0.25">
      <c r="C1866"/>
      <c r="D1866"/>
    </row>
    <row r="1867" spans="3:4" x14ac:dyDescent="0.25">
      <c r="C1867"/>
      <c r="D1867"/>
    </row>
    <row r="1868" spans="3:4" x14ac:dyDescent="0.25">
      <c r="C1868"/>
      <c r="D1868"/>
    </row>
    <row r="1869" spans="3:4" x14ac:dyDescent="0.25">
      <c r="C1869"/>
      <c r="D1869"/>
    </row>
    <row r="1870" spans="3:4" x14ac:dyDescent="0.25">
      <c r="C1870"/>
      <c r="D1870"/>
    </row>
    <row r="1871" spans="3:4" x14ac:dyDescent="0.25">
      <c r="C1871"/>
      <c r="D1871"/>
    </row>
    <row r="1872" spans="3:4" x14ac:dyDescent="0.25">
      <c r="C1872"/>
      <c r="D1872"/>
    </row>
    <row r="1873" spans="3:4" x14ac:dyDescent="0.25">
      <c r="C1873"/>
      <c r="D1873"/>
    </row>
    <row r="1874" spans="3:4" x14ac:dyDescent="0.25">
      <c r="C1874"/>
      <c r="D1874"/>
    </row>
    <row r="1875" spans="3:4" x14ac:dyDescent="0.25">
      <c r="C1875"/>
      <c r="D1875"/>
    </row>
    <row r="1876" spans="3:4" x14ac:dyDescent="0.25">
      <c r="C1876"/>
      <c r="D1876"/>
    </row>
    <row r="1877" spans="3:4" x14ac:dyDescent="0.25">
      <c r="C1877"/>
      <c r="D1877"/>
    </row>
    <row r="1878" spans="3:4" x14ac:dyDescent="0.25">
      <c r="C1878"/>
      <c r="D1878"/>
    </row>
    <row r="1879" spans="3:4" x14ac:dyDescent="0.25">
      <c r="C1879"/>
      <c r="D1879"/>
    </row>
    <row r="1880" spans="3:4" x14ac:dyDescent="0.25">
      <c r="C1880"/>
      <c r="D1880"/>
    </row>
    <row r="1881" spans="3:4" x14ac:dyDescent="0.25">
      <c r="C1881"/>
      <c r="D1881"/>
    </row>
    <row r="1882" spans="3:4" x14ac:dyDescent="0.25">
      <c r="C1882"/>
      <c r="D1882"/>
    </row>
    <row r="1883" spans="3:4" x14ac:dyDescent="0.25">
      <c r="C1883"/>
      <c r="D1883"/>
    </row>
    <row r="1884" spans="3:4" x14ac:dyDescent="0.25">
      <c r="C1884"/>
      <c r="D1884"/>
    </row>
    <row r="1885" spans="3:4" x14ac:dyDescent="0.25">
      <c r="C1885"/>
      <c r="D1885"/>
    </row>
    <row r="1886" spans="3:4" x14ac:dyDescent="0.25">
      <c r="C1886"/>
      <c r="D1886"/>
    </row>
    <row r="1887" spans="3:4" x14ac:dyDescent="0.25">
      <c r="C1887"/>
      <c r="D1887"/>
    </row>
    <row r="1888" spans="3:4" x14ac:dyDescent="0.25">
      <c r="C1888"/>
      <c r="D1888"/>
    </row>
    <row r="1889" spans="3:4" x14ac:dyDescent="0.25">
      <c r="C1889"/>
      <c r="D1889"/>
    </row>
    <row r="1890" spans="3:4" x14ac:dyDescent="0.25">
      <c r="C1890"/>
      <c r="D1890"/>
    </row>
    <row r="1891" spans="3:4" x14ac:dyDescent="0.25">
      <c r="C1891"/>
      <c r="D1891"/>
    </row>
    <row r="1892" spans="3:4" x14ac:dyDescent="0.25">
      <c r="C1892"/>
      <c r="D1892"/>
    </row>
    <row r="1893" spans="3:4" x14ac:dyDescent="0.25">
      <c r="C1893"/>
      <c r="D1893"/>
    </row>
    <row r="1894" spans="3:4" x14ac:dyDescent="0.25">
      <c r="C1894"/>
      <c r="D1894"/>
    </row>
    <row r="1895" spans="3:4" x14ac:dyDescent="0.25">
      <c r="C1895"/>
      <c r="D1895"/>
    </row>
    <row r="1896" spans="3:4" x14ac:dyDescent="0.25">
      <c r="C1896"/>
      <c r="D1896"/>
    </row>
    <row r="1897" spans="3:4" x14ac:dyDescent="0.25">
      <c r="C1897"/>
      <c r="D1897"/>
    </row>
    <row r="1898" spans="3:4" x14ac:dyDescent="0.25">
      <c r="C1898"/>
      <c r="D1898"/>
    </row>
    <row r="1899" spans="3:4" x14ac:dyDescent="0.25">
      <c r="C1899"/>
      <c r="D1899"/>
    </row>
    <row r="1900" spans="3:4" x14ac:dyDescent="0.25">
      <c r="C1900"/>
      <c r="D1900"/>
    </row>
    <row r="1901" spans="3:4" x14ac:dyDescent="0.25">
      <c r="C1901"/>
      <c r="D1901"/>
    </row>
    <row r="1902" spans="3:4" x14ac:dyDescent="0.25">
      <c r="C1902"/>
      <c r="D1902"/>
    </row>
    <row r="1903" spans="3:4" x14ac:dyDescent="0.25">
      <c r="C1903"/>
      <c r="D1903"/>
    </row>
    <row r="1904" spans="3:4" x14ac:dyDescent="0.25">
      <c r="C1904"/>
      <c r="D1904"/>
    </row>
    <row r="1905" spans="3:4" x14ac:dyDescent="0.25">
      <c r="C1905"/>
      <c r="D1905"/>
    </row>
    <row r="1906" spans="3:4" x14ac:dyDescent="0.25">
      <c r="C1906"/>
      <c r="D1906"/>
    </row>
    <row r="1907" spans="3:4" x14ac:dyDescent="0.25">
      <c r="C1907"/>
      <c r="D1907"/>
    </row>
    <row r="1908" spans="3:4" x14ac:dyDescent="0.25">
      <c r="C1908"/>
      <c r="D1908"/>
    </row>
    <row r="1909" spans="3:4" x14ac:dyDescent="0.25">
      <c r="C1909"/>
      <c r="D1909"/>
    </row>
    <row r="1910" spans="3:4" x14ac:dyDescent="0.25">
      <c r="C1910"/>
      <c r="D1910"/>
    </row>
    <row r="1911" spans="3:4" x14ac:dyDescent="0.25">
      <c r="C1911"/>
      <c r="D1911"/>
    </row>
    <row r="1912" spans="3:4" x14ac:dyDescent="0.25">
      <c r="C1912"/>
      <c r="D1912"/>
    </row>
    <row r="1913" spans="3:4" x14ac:dyDescent="0.25">
      <c r="C1913"/>
      <c r="D1913"/>
    </row>
    <row r="1914" spans="3:4" x14ac:dyDescent="0.25">
      <c r="C1914"/>
      <c r="D1914"/>
    </row>
    <row r="1915" spans="3:4" x14ac:dyDescent="0.25">
      <c r="C1915"/>
      <c r="D1915"/>
    </row>
    <row r="1916" spans="3:4" x14ac:dyDescent="0.25">
      <c r="C1916"/>
      <c r="D1916"/>
    </row>
    <row r="1917" spans="3:4" x14ac:dyDescent="0.25">
      <c r="C1917"/>
      <c r="D1917"/>
    </row>
    <row r="1918" spans="3:4" x14ac:dyDescent="0.25">
      <c r="C1918"/>
      <c r="D1918"/>
    </row>
    <row r="1919" spans="3:4" x14ac:dyDescent="0.25">
      <c r="C1919"/>
      <c r="D1919"/>
    </row>
    <row r="1920" spans="3:4" x14ac:dyDescent="0.25">
      <c r="C1920"/>
      <c r="D1920"/>
    </row>
    <row r="1921" spans="3:4" x14ac:dyDescent="0.25">
      <c r="C1921"/>
      <c r="D1921"/>
    </row>
    <row r="1922" spans="3:4" x14ac:dyDescent="0.25">
      <c r="C1922"/>
      <c r="D1922"/>
    </row>
    <row r="1923" spans="3:4" x14ac:dyDescent="0.25">
      <c r="C1923"/>
      <c r="D1923"/>
    </row>
    <row r="1924" spans="3:4" x14ac:dyDescent="0.25">
      <c r="C1924"/>
      <c r="D1924"/>
    </row>
    <row r="1925" spans="3:4" x14ac:dyDescent="0.25">
      <c r="C1925"/>
      <c r="D1925"/>
    </row>
    <row r="1926" spans="3:4" x14ac:dyDescent="0.25">
      <c r="C1926"/>
      <c r="D1926"/>
    </row>
    <row r="1927" spans="3:4" x14ac:dyDescent="0.25">
      <c r="C1927"/>
      <c r="D1927"/>
    </row>
    <row r="1928" spans="3:4" x14ac:dyDescent="0.25">
      <c r="C1928"/>
      <c r="D1928"/>
    </row>
    <row r="1929" spans="3:4" x14ac:dyDescent="0.25">
      <c r="C1929"/>
      <c r="D1929"/>
    </row>
    <row r="1930" spans="3:4" x14ac:dyDescent="0.25">
      <c r="C1930"/>
      <c r="D1930"/>
    </row>
    <row r="1931" spans="3:4" x14ac:dyDescent="0.25">
      <c r="C1931"/>
      <c r="D1931"/>
    </row>
    <row r="1932" spans="3:4" x14ac:dyDescent="0.25">
      <c r="C1932"/>
      <c r="D1932"/>
    </row>
    <row r="1933" spans="3:4" x14ac:dyDescent="0.25">
      <c r="C1933"/>
      <c r="D1933"/>
    </row>
    <row r="1934" spans="3:4" x14ac:dyDescent="0.25">
      <c r="C1934"/>
      <c r="D1934"/>
    </row>
    <row r="1935" spans="3:4" x14ac:dyDescent="0.25">
      <c r="C1935"/>
      <c r="D1935"/>
    </row>
    <row r="1936" spans="3:4" x14ac:dyDescent="0.25">
      <c r="C1936"/>
      <c r="D1936"/>
    </row>
    <row r="1937" spans="3:4" x14ac:dyDescent="0.25">
      <c r="C1937"/>
      <c r="D1937"/>
    </row>
    <row r="1938" spans="3:4" x14ac:dyDescent="0.25">
      <c r="C1938"/>
      <c r="D1938"/>
    </row>
    <row r="1939" spans="3:4" x14ac:dyDescent="0.25">
      <c r="C1939"/>
      <c r="D1939"/>
    </row>
    <row r="1940" spans="3:4" x14ac:dyDescent="0.25">
      <c r="C1940"/>
      <c r="D1940"/>
    </row>
    <row r="1941" spans="3:4" x14ac:dyDescent="0.25">
      <c r="C1941"/>
      <c r="D1941"/>
    </row>
    <row r="1942" spans="3:4" x14ac:dyDescent="0.25">
      <c r="C1942"/>
      <c r="D1942"/>
    </row>
    <row r="1943" spans="3:4" x14ac:dyDescent="0.25">
      <c r="C1943"/>
      <c r="D1943"/>
    </row>
    <row r="1944" spans="3:4" x14ac:dyDescent="0.25">
      <c r="C1944"/>
      <c r="D1944"/>
    </row>
    <row r="1945" spans="3:4" x14ac:dyDescent="0.25">
      <c r="C1945"/>
      <c r="D1945"/>
    </row>
    <row r="1946" spans="3:4" x14ac:dyDescent="0.25">
      <c r="C1946"/>
      <c r="D1946"/>
    </row>
    <row r="1947" spans="3:4" x14ac:dyDescent="0.25">
      <c r="C1947"/>
      <c r="D1947"/>
    </row>
    <row r="1948" spans="3:4" x14ac:dyDescent="0.25">
      <c r="C1948"/>
      <c r="D1948"/>
    </row>
    <row r="1949" spans="3:4" x14ac:dyDescent="0.25">
      <c r="C1949"/>
      <c r="D1949"/>
    </row>
    <row r="1950" spans="3:4" x14ac:dyDescent="0.25">
      <c r="C1950"/>
      <c r="D1950"/>
    </row>
    <row r="1951" spans="3:4" x14ac:dyDescent="0.25">
      <c r="C1951"/>
      <c r="D1951"/>
    </row>
    <row r="1952" spans="3:4" x14ac:dyDescent="0.25">
      <c r="C1952"/>
      <c r="D1952"/>
    </row>
    <row r="1953" spans="3:4" x14ac:dyDescent="0.25">
      <c r="C1953"/>
      <c r="D1953"/>
    </row>
    <row r="1954" spans="3:4" x14ac:dyDescent="0.25">
      <c r="C1954"/>
      <c r="D1954"/>
    </row>
    <row r="1955" spans="3:4" x14ac:dyDescent="0.25">
      <c r="C1955"/>
      <c r="D1955"/>
    </row>
    <row r="1956" spans="3:4" x14ac:dyDescent="0.25">
      <c r="C1956"/>
      <c r="D1956"/>
    </row>
    <row r="1957" spans="3:4" x14ac:dyDescent="0.25">
      <c r="C1957"/>
      <c r="D1957"/>
    </row>
    <row r="1958" spans="3:4" x14ac:dyDescent="0.25">
      <c r="C1958"/>
      <c r="D1958"/>
    </row>
    <row r="1959" spans="3:4" x14ac:dyDescent="0.25">
      <c r="C1959"/>
      <c r="D1959"/>
    </row>
    <row r="1960" spans="3:4" x14ac:dyDescent="0.25">
      <c r="C1960"/>
      <c r="D1960"/>
    </row>
    <row r="1961" spans="3:4" x14ac:dyDescent="0.25">
      <c r="C1961"/>
      <c r="D1961"/>
    </row>
    <row r="1962" spans="3:4" x14ac:dyDescent="0.25">
      <c r="C1962"/>
      <c r="D1962"/>
    </row>
    <row r="1963" spans="3:4" x14ac:dyDescent="0.25">
      <c r="C1963"/>
      <c r="D1963"/>
    </row>
    <row r="1964" spans="3:4" x14ac:dyDescent="0.25">
      <c r="C1964"/>
      <c r="D1964"/>
    </row>
    <row r="1965" spans="3:4" x14ac:dyDescent="0.25">
      <c r="C1965"/>
      <c r="D1965"/>
    </row>
    <row r="1966" spans="3:4" x14ac:dyDescent="0.25">
      <c r="C1966"/>
      <c r="D1966"/>
    </row>
    <row r="1967" spans="3:4" x14ac:dyDescent="0.25">
      <c r="C1967"/>
      <c r="D1967"/>
    </row>
    <row r="1968" spans="3:4" x14ac:dyDescent="0.25">
      <c r="C1968"/>
      <c r="D1968"/>
    </row>
    <row r="1969" spans="3:4" x14ac:dyDescent="0.25">
      <c r="C1969"/>
      <c r="D1969"/>
    </row>
    <row r="1970" spans="3:4" x14ac:dyDescent="0.25">
      <c r="C1970"/>
      <c r="D1970"/>
    </row>
    <row r="1971" spans="3:4" x14ac:dyDescent="0.25">
      <c r="C1971"/>
      <c r="D1971"/>
    </row>
    <row r="1972" spans="3:4" x14ac:dyDescent="0.25">
      <c r="C1972"/>
      <c r="D1972"/>
    </row>
    <row r="1973" spans="3:4" x14ac:dyDescent="0.25">
      <c r="C1973"/>
      <c r="D1973"/>
    </row>
    <row r="1974" spans="3:4" x14ac:dyDescent="0.25">
      <c r="C1974"/>
      <c r="D1974"/>
    </row>
    <row r="1975" spans="3:4" x14ac:dyDescent="0.25">
      <c r="C1975"/>
      <c r="D1975"/>
    </row>
    <row r="1976" spans="3:4" x14ac:dyDescent="0.25">
      <c r="C1976"/>
      <c r="D1976"/>
    </row>
    <row r="1977" spans="3:4" x14ac:dyDescent="0.25">
      <c r="C1977"/>
      <c r="D1977"/>
    </row>
    <row r="1978" spans="3:4" x14ac:dyDescent="0.25">
      <c r="C1978"/>
      <c r="D1978"/>
    </row>
    <row r="1979" spans="3:4" x14ac:dyDescent="0.25">
      <c r="C1979"/>
      <c r="D1979"/>
    </row>
    <row r="1980" spans="3:4" x14ac:dyDescent="0.25">
      <c r="C1980"/>
      <c r="D1980"/>
    </row>
    <row r="1981" spans="3:4" x14ac:dyDescent="0.25">
      <c r="C1981"/>
      <c r="D1981"/>
    </row>
    <row r="1982" spans="3:4" x14ac:dyDescent="0.25">
      <c r="C1982"/>
      <c r="D1982"/>
    </row>
    <row r="1983" spans="3:4" x14ac:dyDescent="0.25">
      <c r="C1983"/>
      <c r="D1983"/>
    </row>
    <row r="1984" spans="3:4" x14ac:dyDescent="0.25">
      <c r="C1984"/>
      <c r="D1984"/>
    </row>
    <row r="1985" spans="3:4" x14ac:dyDescent="0.25">
      <c r="C1985"/>
      <c r="D1985"/>
    </row>
    <row r="1986" spans="3:4" x14ac:dyDescent="0.25">
      <c r="C1986"/>
      <c r="D1986"/>
    </row>
    <row r="1987" spans="3:4" x14ac:dyDescent="0.25">
      <c r="C1987"/>
      <c r="D1987"/>
    </row>
    <row r="1988" spans="3:4" x14ac:dyDescent="0.25">
      <c r="C1988"/>
      <c r="D1988"/>
    </row>
    <row r="1989" spans="3:4" x14ac:dyDescent="0.25">
      <c r="C1989"/>
      <c r="D1989"/>
    </row>
    <row r="1990" spans="3:4" x14ac:dyDescent="0.25">
      <c r="C1990"/>
      <c r="D1990"/>
    </row>
    <row r="1991" spans="3:4" x14ac:dyDescent="0.25">
      <c r="C1991"/>
      <c r="D1991"/>
    </row>
    <row r="1992" spans="3:4" x14ac:dyDescent="0.25">
      <c r="C1992"/>
      <c r="D1992"/>
    </row>
    <row r="1993" spans="3:4" x14ac:dyDescent="0.25">
      <c r="C1993"/>
      <c r="D1993"/>
    </row>
    <row r="1994" spans="3:4" x14ac:dyDescent="0.25">
      <c r="C1994"/>
      <c r="D1994"/>
    </row>
    <row r="1995" spans="3:4" x14ac:dyDescent="0.25">
      <c r="C1995"/>
      <c r="D1995"/>
    </row>
    <row r="1996" spans="3:4" x14ac:dyDescent="0.25">
      <c r="C1996"/>
      <c r="D1996"/>
    </row>
    <row r="1997" spans="3:4" x14ac:dyDescent="0.25">
      <c r="C1997"/>
      <c r="D1997"/>
    </row>
    <row r="1998" spans="3:4" x14ac:dyDescent="0.25">
      <c r="C1998"/>
      <c r="D1998"/>
    </row>
    <row r="1999" spans="3:4" x14ac:dyDescent="0.25">
      <c r="C1999"/>
      <c r="D1999"/>
    </row>
    <row r="2000" spans="3:4" x14ac:dyDescent="0.25">
      <c r="C2000"/>
      <c r="D2000"/>
    </row>
    <row r="2001" spans="3:4" x14ac:dyDescent="0.25">
      <c r="C2001"/>
      <c r="D2001"/>
    </row>
    <row r="2002" spans="3:4" x14ac:dyDescent="0.25">
      <c r="C2002"/>
      <c r="D2002"/>
    </row>
    <row r="2003" spans="3:4" x14ac:dyDescent="0.25">
      <c r="C2003"/>
      <c r="D2003"/>
    </row>
    <row r="2004" spans="3:4" x14ac:dyDescent="0.25">
      <c r="C2004"/>
      <c r="D2004"/>
    </row>
    <row r="2005" spans="3:4" x14ac:dyDescent="0.25">
      <c r="C2005"/>
      <c r="D2005"/>
    </row>
    <row r="2006" spans="3:4" x14ac:dyDescent="0.25">
      <c r="C2006"/>
      <c r="D2006"/>
    </row>
    <row r="2007" spans="3:4" x14ac:dyDescent="0.25">
      <c r="C2007"/>
      <c r="D2007"/>
    </row>
    <row r="2008" spans="3:4" x14ac:dyDescent="0.25">
      <c r="C2008"/>
      <c r="D2008"/>
    </row>
    <row r="2009" spans="3:4" x14ac:dyDescent="0.25">
      <c r="C2009"/>
      <c r="D2009"/>
    </row>
    <row r="2010" spans="3:4" x14ac:dyDescent="0.25">
      <c r="C2010"/>
      <c r="D2010"/>
    </row>
    <row r="2011" spans="3:4" x14ac:dyDescent="0.25">
      <c r="C2011"/>
      <c r="D2011"/>
    </row>
    <row r="2012" spans="3:4" x14ac:dyDescent="0.25">
      <c r="C2012"/>
      <c r="D2012"/>
    </row>
    <row r="2013" spans="3:4" x14ac:dyDescent="0.25">
      <c r="C2013"/>
      <c r="D2013"/>
    </row>
    <row r="2014" spans="3:4" x14ac:dyDescent="0.25">
      <c r="C2014"/>
      <c r="D2014"/>
    </row>
    <row r="2015" spans="3:4" x14ac:dyDescent="0.25">
      <c r="C2015"/>
      <c r="D2015"/>
    </row>
    <row r="2016" spans="3:4" x14ac:dyDescent="0.25">
      <c r="C2016"/>
      <c r="D2016"/>
    </row>
    <row r="2017" spans="3:4" x14ac:dyDescent="0.25">
      <c r="C2017"/>
      <c r="D2017"/>
    </row>
    <row r="2018" spans="3:4" x14ac:dyDescent="0.25">
      <c r="C2018"/>
      <c r="D2018"/>
    </row>
    <row r="2019" spans="3:4" x14ac:dyDescent="0.25">
      <c r="C2019"/>
      <c r="D2019"/>
    </row>
    <row r="2020" spans="3:4" x14ac:dyDescent="0.25">
      <c r="C2020"/>
      <c r="D2020"/>
    </row>
    <row r="2021" spans="3:4" x14ac:dyDescent="0.25">
      <c r="C2021"/>
      <c r="D2021"/>
    </row>
    <row r="2022" spans="3:4" x14ac:dyDescent="0.25">
      <c r="C2022"/>
      <c r="D2022"/>
    </row>
    <row r="2023" spans="3:4" x14ac:dyDescent="0.25">
      <c r="C2023"/>
      <c r="D2023"/>
    </row>
    <row r="2024" spans="3:4" x14ac:dyDescent="0.25">
      <c r="C2024"/>
      <c r="D2024"/>
    </row>
    <row r="2025" spans="3:4" x14ac:dyDescent="0.25">
      <c r="C2025"/>
      <c r="D2025"/>
    </row>
    <row r="2026" spans="3:4" x14ac:dyDescent="0.25">
      <c r="C2026"/>
      <c r="D2026"/>
    </row>
    <row r="2027" spans="3:4" x14ac:dyDescent="0.25">
      <c r="C2027"/>
      <c r="D2027"/>
    </row>
    <row r="2028" spans="3:4" x14ac:dyDescent="0.25">
      <c r="C2028"/>
      <c r="D2028"/>
    </row>
    <row r="2029" spans="3:4" x14ac:dyDescent="0.25">
      <c r="C2029"/>
      <c r="D2029"/>
    </row>
    <row r="2030" spans="3:4" x14ac:dyDescent="0.25">
      <c r="C2030"/>
      <c r="D2030"/>
    </row>
    <row r="2031" spans="3:4" x14ac:dyDescent="0.25">
      <c r="C2031"/>
      <c r="D2031"/>
    </row>
    <row r="2032" spans="3:4" x14ac:dyDescent="0.25">
      <c r="C2032"/>
      <c r="D2032"/>
    </row>
    <row r="2033" spans="3:4" x14ac:dyDescent="0.25">
      <c r="C2033"/>
      <c r="D2033"/>
    </row>
    <row r="2034" spans="3:4" x14ac:dyDescent="0.25">
      <c r="C2034"/>
      <c r="D2034"/>
    </row>
    <row r="2035" spans="3:4" x14ac:dyDescent="0.25">
      <c r="C2035"/>
      <c r="D2035"/>
    </row>
    <row r="2036" spans="3:4" x14ac:dyDescent="0.25">
      <c r="C2036"/>
      <c r="D2036"/>
    </row>
    <row r="2037" spans="3:4" x14ac:dyDescent="0.25">
      <c r="C2037"/>
      <c r="D2037"/>
    </row>
    <row r="2038" spans="3:4" x14ac:dyDescent="0.25">
      <c r="C2038"/>
      <c r="D2038"/>
    </row>
    <row r="2039" spans="3:4" x14ac:dyDescent="0.25">
      <c r="C2039"/>
      <c r="D2039"/>
    </row>
    <row r="2040" spans="3:4" x14ac:dyDescent="0.25">
      <c r="C2040"/>
      <c r="D2040"/>
    </row>
    <row r="2041" spans="3:4" x14ac:dyDescent="0.25">
      <c r="C2041"/>
      <c r="D2041"/>
    </row>
    <row r="2042" spans="3:4" x14ac:dyDescent="0.25">
      <c r="C2042"/>
      <c r="D2042"/>
    </row>
    <row r="2043" spans="3:4" x14ac:dyDescent="0.25">
      <c r="C2043"/>
      <c r="D2043"/>
    </row>
    <row r="2044" spans="3:4" x14ac:dyDescent="0.25">
      <c r="C2044"/>
      <c r="D2044"/>
    </row>
    <row r="2045" spans="3:4" x14ac:dyDescent="0.25">
      <c r="C2045"/>
      <c r="D2045"/>
    </row>
    <row r="2046" spans="3:4" x14ac:dyDescent="0.25">
      <c r="C2046"/>
      <c r="D2046"/>
    </row>
    <row r="2047" spans="3:4" x14ac:dyDescent="0.25">
      <c r="C2047"/>
      <c r="D2047"/>
    </row>
    <row r="2048" spans="3:4" x14ac:dyDescent="0.25">
      <c r="C2048"/>
      <c r="D2048"/>
    </row>
    <row r="2049" spans="3:4" x14ac:dyDescent="0.25">
      <c r="C2049"/>
      <c r="D2049"/>
    </row>
    <row r="2050" spans="3:4" x14ac:dyDescent="0.25">
      <c r="C2050"/>
      <c r="D2050"/>
    </row>
    <row r="2051" spans="3:4" x14ac:dyDescent="0.25">
      <c r="C2051"/>
      <c r="D2051"/>
    </row>
    <row r="2052" spans="3:4" x14ac:dyDescent="0.25">
      <c r="C2052"/>
      <c r="D2052"/>
    </row>
    <row r="2053" spans="3:4" x14ac:dyDescent="0.25">
      <c r="C2053"/>
      <c r="D2053"/>
    </row>
    <row r="2054" spans="3:4" x14ac:dyDescent="0.25">
      <c r="C2054"/>
      <c r="D2054"/>
    </row>
    <row r="2055" spans="3:4" x14ac:dyDescent="0.25">
      <c r="C2055"/>
      <c r="D2055"/>
    </row>
    <row r="2056" spans="3:4" x14ac:dyDescent="0.25">
      <c r="C2056"/>
      <c r="D2056"/>
    </row>
    <row r="2057" spans="3:4" x14ac:dyDescent="0.25">
      <c r="C2057"/>
      <c r="D2057"/>
    </row>
    <row r="2058" spans="3:4" x14ac:dyDescent="0.25">
      <c r="C2058"/>
      <c r="D2058"/>
    </row>
    <row r="2059" spans="3:4" x14ac:dyDescent="0.25">
      <c r="C2059"/>
      <c r="D2059"/>
    </row>
    <row r="2060" spans="3:4" x14ac:dyDescent="0.25">
      <c r="C2060"/>
      <c r="D2060"/>
    </row>
    <row r="2061" spans="3:4" x14ac:dyDescent="0.25">
      <c r="C2061"/>
      <c r="D2061"/>
    </row>
    <row r="2062" spans="3:4" x14ac:dyDescent="0.25">
      <c r="C2062"/>
      <c r="D2062"/>
    </row>
    <row r="2063" spans="3:4" x14ac:dyDescent="0.25">
      <c r="C2063"/>
      <c r="D2063"/>
    </row>
    <row r="2064" spans="3:4" x14ac:dyDescent="0.25">
      <c r="C2064"/>
      <c r="D2064"/>
    </row>
    <row r="2065" spans="3:4" x14ac:dyDescent="0.25">
      <c r="C2065"/>
      <c r="D2065"/>
    </row>
    <row r="2066" spans="3:4" x14ac:dyDescent="0.25">
      <c r="C2066"/>
      <c r="D2066"/>
    </row>
    <row r="2067" spans="3:4" x14ac:dyDescent="0.25">
      <c r="C2067"/>
      <c r="D2067"/>
    </row>
    <row r="2068" spans="3:4" x14ac:dyDescent="0.25">
      <c r="C2068"/>
      <c r="D2068"/>
    </row>
    <row r="2069" spans="3:4" x14ac:dyDescent="0.25">
      <c r="C2069"/>
      <c r="D2069"/>
    </row>
    <row r="2070" spans="3:4" x14ac:dyDescent="0.25">
      <c r="C2070"/>
      <c r="D2070"/>
    </row>
    <row r="2071" spans="3:4" x14ac:dyDescent="0.25">
      <c r="C2071"/>
      <c r="D2071"/>
    </row>
    <row r="2072" spans="3:4" x14ac:dyDescent="0.25">
      <c r="C2072"/>
      <c r="D2072"/>
    </row>
    <row r="2073" spans="3:4" x14ac:dyDescent="0.25">
      <c r="C2073"/>
      <c r="D2073"/>
    </row>
    <row r="2074" spans="3:4" x14ac:dyDescent="0.25">
      <c r="C2074"/>
      <c r="D2074"/>
    </row>
    <row r="2075" spans="3:4" x14ac:dyDescent="0.25">
      <c r="C2075"/>
      <c r="D2075"/>
    </row>
    <row r="2076" spans="3:4" x14ac:dyDescent="0.25">
      <c r="C2076"/>
      <c r="D2076"/>
    </row>
    <row r="2077" spans="3:4" x14ac:dyDescent="0.25">
      <c r="C2077"/>
      <c r="D2077"/>
    </row>
    <row r="2078" spans="3:4" x14ac:dyDescent="0.25">
      <c r="C2078"/>
      <c r="D2078"/>
    </row>
    <row r="2079" spans="3:4" x14ac:dyDescent="0.25">
      <c r="C2079"/>
      <c r="D2079"/>
    </row>
    <row r="2080" spans="3:4" x14ac:dyDescent="0.25">
      <c r="C2080"/>
      <c r="D2080"/>
    </row>
    <row r="2081" spans="3:4" x14ac:dyDescent="0.25">
      <c r="C2081"/>
      <c r="D2081"/>
    </row>
    <row r="2082" spans="3:4" x14ac:dyDescent="0.25">
      <c r="C2082"/>
      <c r="D2082"/>
    </row>
    <row r="2083" spans="3:4" x14ac:dyDescent="0.25">
      <c r="C2083"/>
      <c r="D2083"/>
    </row>
    <row r="2084" spans="3:4" x14ac:dyDescent="0.25">
      <c r="C2084"/>
      <c r="D2084"/>
    </row>
    <row r="2085" spans="3:4" x14ac:dyDescent="0.25">
      <c r="C2085"/>
      <c r="D2085"/>
    </row>
    <row r="2086" spans="3:4" x14ac:dyDescent="0.25">
      <c r="C2086"/>
      <c r="D2086"/>
    </row>
    <row r="2087" spans="3:4" x14ac:dyDescent="0.25">
      <c r="C2087"/>
      <c r="D2087"/>
    </row>
    <row r="2088" spans="3:4" x14ac:dyDescent="0.25">
      <c r="C2088"/>
      <c r="D2088"/>
    </row>
    <row r="2089" spans="3:4" x14ac:dyDescent="0.25">
      <c r="C2089"/>
      <c r="D2089"/>
    </row>
    <row r="2090" spans="3:4" x14ac:dyDescent="0.25">
      <c r="C2090"/>
      <c r="D2090"/>
    </row>
    <row r="2091" spans="3:4" x14ac:dyDescent="0.25">
      <c r="C2091"/>
      <c r="D2091"/>
    </row>
    <row r="2092" spans="3:4" x14ac:dyDescent="0.25">
      <c r="C2092"/>
      <c r="D2092"/>
    </row>
    <row r="2093" spans="3:4" x14ac:dyDescent="0.25">
      <c r="C2093"/>
      <c r="D2093"/>
    </row>
    <row r="2094" spans="3:4" x14ac:dyDescent="0.25">
      <c r="C2094"/>
      <c r="D2094"/>
    </row>
    <row r="2095" spans="3:4" x14ac:dyDescent="0.25">
      <c r="C2095"/>
      <c r="D2095"/>
    </row>
    <row r="2096" spans="3:4" x14ac:dyDescent="0.25">
      <c r="C2096"/>
      <c r="D2096"/>
    </row>
    <row r="2097" spans="3:4" x14ac:dyDescent="0.25">
      <c r="C2097"/>
      <c r="D2097"/>
    </row>
    <row r="2098" spans="3:4" x14ac:dyDescent="0.25">
      <c r="C2098"/>
      <c r="D2098"/>
    </row>
    <row r="2099" spans="3:4" x14ac:dyDescent="0.25">
      <c r="C2099"/>
      <c r="D2099"/>
    </row>
    <row r="2100" spans="3:4" x14ac:dyDescent="0.25">
      <c r="C2100"/>
      <c r="D2100"/>
    </row>
    <row r="2101" spans="3:4" x14ac:dyDescent="0.25">
      <c r="C2101"/>
      <c r="D2101"/>
    </row>
    <row r="2102" spans="3:4" x14ac:dyDescent="0.25">
      <c r="C2102"/>
      <c r="D2102"/>
    </row>
    <row r="2103" spans="3:4" x14ac:dyDescent="0.25">
      <c r="C2103"/>
      <c r="D2103"/>
    </row>
    <row r="2104" spans="3:4" x14ac:dyDescent="0.25">
      <c r="C2104"/>
      <c r="D2104"/>
    </row>
    <row r="2105" spans="3:4" x14ac:dyDescent="0.25">
      <c r="C2105"/>
      <c r="D2105"/>
    </row>
    <row r="2106" spans="3:4" x14ac:dyDescent="0.25">
      <c r="C2106"/>
      <c r="D2106"/>
    </row>
    <row r="2107" spans="3:4" x14ac:dyDescent="0.25">
      <c r="C2107"/>
      <c r="D2107"/>
    </row>
    <row r="2108" spans="3:4" x14ac:dyDescent="0.25">
      <c r="C2108"/>
      <c r="D2108"/>
    </row>
    <row r="2109" spans="3:4" x14ac:dyDescent="0.25">
      <c r="C2109"/>
      <c r="D2109"/>
    </row>
    <row r="2110" spans="3:4" x14ac:dyDescent="0.25">
      <c r="C2110"/>
      <c r="D2110"/>
    </row>
    <row r="2111" spans="3:4" x14ac:dyDescent="0.25">
      <c r="C2111"/>
      <c r="D2111"/>
    </row>
    <row r="2112" spans="3:4" x14ac:dyDescent="0.25">
      <c r="C2112"/>
      <c r="D2112"/>
    </row>
    <row r="2113" spans="3:4" x14ac:dyDescent="0.25">
      <c r="C2113"/>
      <c r="D2113"/>
    </row>
    <row r="2114" spans="3:4" x14ac:dyDescent="0.25">
      <c r="C2114"/>
      <c r="D2114"/>
    </row>
    <row r="2115" spans="3:4" x14ac:dyDescent="0.25">
      <c r="C2115"/>
      <c r="D2115"/>
    </row>
    <row r="2116" spans="3:4" x14ac:dyDescent="0.25">
      <c r="C2116"/>
      <c r="D2116"/>
    </row>
    <row r="2117" spans="3:4" x14ac:dyDescent="0.25">
      <c r="C2117"/>
      <c r="D2117"/>
    </row>
    <row r="2118" spans="3:4" x14ac:dyDescent="0.25">
      <c r="C2118"/>
      <c r="D2118"/>
    </row>
    <row r="2119" spans="3:4" x14ac:dyDescent="0.25">
      <c r="C2119"/>
      <c r="D2119"/>
    </row>
    <row r="2120" spans="3:4" x14ac:dyDescent="0.25">
      <c r="C2120"/>
      <c r="D2120"/>
    </row>
    <row r="2121" spans="3:4" x14ac:dyDescent="0.25">
      <c r="C2121"/>
      <c r="D2121"/>
    </row>
    <row r="2122" spans="3:4" x14ac:dyDescent="0.25">
      <c r="C2122"/>
      <c r="D2122"/>
    </row>
    <row r="2123" spans="3:4" x14ac:dyDescent="0.25">
      <c r="C2123"/>
      <c r="D2123"/>
    </row>
    <row r="2124" spans="3:4" x14ac:dyDescent="0.25">
      <c r="C2124"/>
      <c r="D2124"/>
    </row>
    <row r="2125" spans="3:4" x14ac:dyDescent="0.25">
      <c r="C2125"/>
      <c r="D2125"/>
    </row>
    <row r="2126" spans="3:4" x14ac:dyDescent="0.25">
      <c r="C2126"/>
      <c r="D2126"/>
    </row>
    <row r="2127" spans="3:4" x14ac:dyDescent="0.25">
      <c r="C2127"/>
      <c r="D2127"/>
    </row>
    <row r="2128" spans="3:4" x14ac:dyDescent="0.25">
      <c r="C2128"/>
      <c r="D2128"/>
    </row>
    <row r="2129" spans="3:4" x14ac:dyDescent="0.25">
      <c r="C2129"/>
      <c r="D2129"/>
    </row>
    <row r="2130" spans="3:4" x14ac:dyDescent="0.25">
      <c r="C2130"/>
      <c r="D2130"/>
    </row>
    <row r="2131" spans="3:4" x14ac:dyDescent="0.25">
      <c r="C2131"/>
      <c r="D2131"/>
    </row>
    <row r="2132" spans="3:4" x14ac:dyDescent="0.25">
      <c r="C2132"/>
      <c r="D2132"/>
    </row>
    <row r="2133" spans="3:4" x14ac:dyDescent="0.25">
      <c r="C2133"/>
      <c r="D2133"/>
    </row>
    <row r="2134" spans="3:4" x14ac:dyDescent="0.25">
      <c r="C2134"/>
      <c r="D2134"/>
    </row>
    <row r="2135" spans="3:4" x14ac:dyDescent="0.25">
      <c r="C2135"/>
      <c r="D2135"/>
    </row>
    <row r="2136" spans="3:4" x14ac:dyDescent="0.25">
      <c r="C2136"/>
      <c r="D2136"/>
    </row>
    <row r="2137" spans="3:4" x14ac:dyDescent="0.25">
      <c r="C2137"/>
      <c r="D2137"/>
    </row>
    <row r="2138" spans="3:4" x14ac:dyDescent="0.25">
      <c r="C2138"/>
      <c r="D2138"/>
    </row>
    <row r="2139" spans="3:4" x14ac:dyDescent="0.25">
      <c r="C2139"/>
      <c r="D2139"/>
    </row>
    <row r="2140" spans="3:4" x14ac:dyDescent="0.25">
      <c r="C2140"/>
      <c r="D2140"/>
    </row>
    <row r="2141" spans="3:4" x14ac:dyDescent="0.25">
      <c r="C2141"/>
      <c r="D2141"/>
    </row>
    <row r="2142" spans="3:4" x14ac:dyDescent="0.25">
      <c r="C2142"/>
      <c r="D2142"/>
    </row>
    <row r="2143" spans="3:4" x14ac:dyDescent="0.25">
      <c r="C2143"/>
      <c r="D2143"/>
    </row>
    <row r="2144" spans="3:4" x14ac:dyDescent="0.25">
      <c r="C2144"/>
      <c r="D2144"/>
    </row>
    <row r="2145" spans="3:4" x14ac:dyDescent="0.25">
      <c r="C2145"/>
      <c r="D2145"/>
    </row>
    <row r="2146" spans="3:4" x14ac:dyDescent="0.25">
      <c r="C2146"/>
      <c r="D2146"/>
    </row>
    <row r="2147" spans="3:4" x14ac:dyDescent="0.25">
      <c r="C2147"/>
      <c r="D2147"/>
    </row>
    <row r="2148" spans="3:4" x14ac:dyDescent="0.25">
      <c r="C2148"/>
      <c r="D2148"/>
    </row>
    <row r="2149" spans="3:4" x14ac:dyDescent="0.25">
      <c r="C2149"/>
      <c r="D2149"/>
    </row>
    <row r="2150" spans="3:4" x14ac:dyDescent="0.25">
      <c r="C2150"/>
      <c r="D2150"/>
    </row>
    <row r="2151" spans="3:4" x14ac:dyDescent="0.25">
      <c r="C2151"/>
      <c r="D2151"/>
    </row>
    <row r="2152" spans="3:4" x14ac:dyDescent="0.25">
      <c r="C2152"/>
      <c r="D2152"/>
    </row>
    <row r="2153" spans="3:4" x14ac:dyDescent="0.25">
      <c r="C2153"/>
      <c r="D2153"/>
    </row>
    <row r="2154" spans="3:4" x14ac:dyDescent="0.25">
      <c r="C2154"/>
      <c r="D2154"/>
    </row>
    <row r="2155" spans="3:4" x14ac:dyDescent="0.25">
      <c r="C2155"/>
      <c r="D2155"/>
    </row>
    <row r="2156" spans="3:4" x14ac:dyDescent="0.25">
      <c r="C2156"/>
      <c r="D2156"/>
    </row>
    <row r="2157" spans="3:4" x14ac:dyDescent="0.25">
      <c r="C2157"/>
      <c r="D2157"/>
    </row>
    <row r="2158" spans="3:4" x14ac:dyDescent="0.25">
      <c r="C2158"/>
      <c r="D2158"/>
    </row>
    <row r="2159" spans="3:4" x14ac:dyDescent="0.25">
      <c r="C2159"/>
      <c r="D2159"/>
    </row>
    <row r="2160" spans="3:4" x14ac:dyDescent="0.25">
      <c r="C2160"/>
      <c r="D2160"/>
    </row>
    <row r="2161" spans="3:4" x14ac:dyDescent="0.25">
      <c r="C2161"/>
      <c r="D2161"/>
    </row>
    <row r="2162" spans="3:4" x14ac:dyDescent="0.25">
      <c r="C2162"/>
      <c r="D2162"/>
    </row>
    <row r="2163" spans="3:4" x14ac:dyDescent="0.25">
      <c r="C2163"/>
      <c r="D2163"/>
    </row>
    <row r="2164" spans="3:4" x14ac:dyDescent="0.25">
      <c r="C2164"/>
      <c r="D2164"/>
    </row>
    <row r="2165" spans="3:4" x14ac:dyDescent="0.25">
      <c r="C2165"/>
      <c r="D2165"/>
    </row>
    <row r="2166" spans="3:4" x14ac:dyDescent="0.25">
      <c r="C2166"/>
      <c r="D2166"/>
    </row>
    <row r="2167" spans="3:4" x14ac:dyDescent="0.25">
      <c r="C2167"/>
      <c r="D2167"/>
    </row>
    <row r="2168" spans="3:4" x14ac:dyDescent="0.25">
      <c r="C2168"/>
      <c r="D2168"/>
    </row>
    <row r="2169" spans="3:4" x14ac:dyDescent="0.25">
      <c r="C2169"/>
      <c r="D2169"/>
    </row>
    <row r="2170" spans="3:4" x14ac:dyDescent="0.25">
      <c r="C2170"/>
      <c r="D2170"/>
    </row>
    <row r="2171" spans="3:4" x14ac:dyDescent="0.25">
      <c r="C2171"/>
      <c r="D2171"/>
    </row>
    <row r="2172" spans="3:4" x14ac:dyDescent="0.25">
      <c r="C2172"/>
      <c r="D2172"/>
    </row>
    <row r="2173" spans="3:4" x14ac:dyDescent="0.25">
      <c r="C2173"/>
      <c r="D2173"/>
    </row>
    <row r="2174" spans="3:4" x14ac:dyDescent="0.25">
      <c r="C2174"/>
      <c r="D2174"/>
    </row>
    <row r="2175" spans="3:4" x14ac:dyDescent="0.25">
      <c r="C2175"/>
      <c r="D2175"/>
    </row>
    <row r="2176" spans="3:4" x14ac:dyDescent="0.25">
      <c r="C2176"/>
      <c r="D2176"/>
    </row>
    <row r="2177" spans="3:4" x14ac:dyDescent="0.25">
      <c r="C2177"/>
      <c r="D2177"/>
    </row>
    <row r="2178" spans="3:4" x14ac:dyDescent="0.25">
      <c r="C2178"/>
      <c r="D2178"/>
    </row>
    <row r="2179" spans="3:4" x14ac:dyDescent="0.25">
      <c r="C2179"/>
      <c r="D2179"/>
    </row>
    <row r="2180" spans="3:4" x14ac:dyDescent="0.25">
      <c r="C2180"/>
      <c r="D2180"/>
    </row>
    <row r="2181" spans="3:4" x14ac:dyDescent="0.25">
      <c r="C2181"/>
      <c r="D2181"/>
    </row>
    <row r="2182" spans="3:4" x14ac:dyDescent="0.25">
      <c r="C2182"/>
      <c r="D2182"/>
    </row>
    <row r="2183" spans="3:4" x14ac:dyDescent="0.25">
      <c r="C2183"/>
      <c r="D2183"/>
    </row>
    <row r="2184" spans="3:4" x14ac:dyDescent="0.25">
      <c r="C2184"/>
      <c r="D2184"/>
    </row>
    <row r="2185" spans="3:4" x14ac:dyDescent="0.25">
      <c r="C2185"/>
      <c r="D2185"/>
    </row>
    <row r="2186" spans="3:4" x14ac:dyDescent="0.25">
      <c r="C2186"/>
      <c r="D2186"/>
    </row>
    <row r="2187" spans="3:4" x14ac:dyDescent="0.25">
      <c r="C2187"/>
      <c r="D2187"/>
    </row>
    <row r="2188" spans="3:4" x14ac:dyDescent="0.25">
      <c r="C2188"/>
      <c r="D2188"/>
    </row>
    <row r="2189" spans="3:4" x14ac:dyDescent="0.25">
      <c r="C2189"/>
      <c r="D2189"/>
    </row>
    <row r="2190" spans="3:4" x14ac:dyDescent="0.25">
      <c r="C2190"/>
      <c r="D2190"/>
    </row>
    <row r="2191" spans="3:4" x14ac:dyDescent="0.25">
      <c r="C2191"/>
      <c r="D2191"/>
    </row>
    <row r="2192" spans="3:4" x14ac:dyDescent="0.25">
      <c r="C2192"/>
      <c r="D2192"/>
    </row>
    <row r="2193" spans="3:4" x14ac:dyDescent="0.25">
      <c r="C2193"/>
      <c r="D2193"/>
    </row>
    <row r="2194" spans="3:4" x14ac:dyDescent="0.25">
      <c r="C2194"/>
      <c r="D2194"/>
    </row>
    <row r="2195" spans="3:4" x14ac:dyDescent="0.25">
      <c r="C2195"/>
      <c r="D2195"/>
    </row>
    <row r="2196" spans="3:4" x14ac:dyDescent="0.25">
      <c r="C2196"/>
      <c r="D2196"/>
    </row>
  </sheetData>
  <phoneticPr fontId="9" type="noConversion"/>
  <conditionalFormatting sqref="F70:F71 H2:H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{695E71ED-3A2E-47D1-99B3-769A6A4544EC}</x14:id>
        </ext>
      </extLst>
    </cfRule>
  </conditionalFormatting>
  <conditionalFormatting sqref="H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{319372B2-A4BD-4481-89C1-344A9F53E0DF}</x14:id>
        </ext>
      </extLst>
    </cfRule>
  </conditionalFormatting>
  <pageMargins left="0.75" right="0.75" top="1" bottom="1" header="0.5" footer="0.5"/>
  <pageSetup paperSize="9" orientation="portrait"/>
  <drawing r:id="rId4"/>
  <tableParts count="2"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5E71ED-3A2E-47D1-99B3-769A6A454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F70:F71 H2:H11</xm:sqref>
        </x14:conditionalFormatting>
        <x14:conditionalFormatting xmlns:xm="http://schemas.microsoft.com/office/excel/2006/main">
          <x14:cfRule type="dataBar" id="{319372B2-A4BD-4481-89C1-344A9F53E0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</xm:sqref>
        </x14:conditionalFormatting>
      </x14:conditionalFormattings>
    </ex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pedace</cp:lastModifiedBy>
  <dcterms:created xsi:type="dcterms:W3CDTF">2025-08-21T07:02:16Z</dcterms:created>
  <dcterms:modified xsi:type="dcterms:W3CDTF">2025-11-14T19:17:01Z</dcterms:modified>
</cp:coreProperties>
</file>